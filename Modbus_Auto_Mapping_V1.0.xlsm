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4750" windowHeight="12080"/>
  </bookViews>
  <sheets>
    <sheet name="汇川表_new" sheetId="1" r:id="rId1"/>
    <sheet name="原始数据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<sst xmlns="http://schemas.openxmlformats.org/spreadsheetml/2006/main" count="9" uniqueCount="9">
  <si>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序号</t>
  </si>
  <si>
    <t>变量名</t>
  </si>
  <si>
    <t>数据类型</t>
  </si>
  <si>
    <t>隐藏初始值</t>
  </si>
  <si>
    <t>初始值</t>
  </si>
  <si>
    <t>掉电保持</t>
  </si>
  <si>
    <t>网络公开</t>
  </si>
  <si>
    <t>注释</t>
  </si>
  <si>
    <t>软元件地址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</si>
</sst>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77"/>
  <sheetViews>
    <sheetView tabSelected="1" zoomScaleSheetLayoutView="60" workbookViewId="0">
      <selection activeCell="N21" sqref="N21"/>
    </sheetView>
  </sheetViews>
  <sheetFormatPr defaultColWidth="9.81818181818182" defaultRowHeight="14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s="1">
        <f>ROW()-1</f>
        <v>1</v>
      </c>
      <c r="B2" s="2">
        <f>原始数据!A2</f>
        <v>0</v>
      </c>
      <c r="C2" s="2" t="str">
        <f>UPPER(原始数据!C2)</f>
        <v/>
      </c>
      <c r="D2" s="2" t="str">
        <f>"OFF"</f>
        <v>OFF</v>
      </c>
      <c r="E2" s="2" t="str">
        <f>"不保持"</f>
        <v>不保持</v>
      </c>
      <c r="F2" s="2" t="str">
        <f>"私有"</f>
        <v>私有</v>
      </c>
      <c r="I2" t="str" cm="1">
        <f t="array" ref="I2">IF(ISNUMBER(SEARCH("Reg",原始数据!D2)),"D"&amp;(SUMPRODUCT((ISNUMBER(SEARCH("Reg",原始数据!$D$2:D2)))*(IF(ISNUMBER(SEARCH("Real",原始数据!$C$2:C2))+ISNUMBER(SEARCH("DInt",原始数据!$C$2:C2))&gt;0,2,1)))-IF(ISNUMBER(SEARCH("Real",原始数据!C2))+ISNUMBER(SEARCH("DInt",原始数据!C2))&gt;0,2,1)),IF(原始数据!B2="Input","X"&amp;DEC2OCT(RIGHT(原始数据!D2,LEN(原始数据!D2)-FIND(" ",原始数据!D2))*1-63488),IF(原始数据!B2="Output","Y"&amp;DEC2OCT(RIGHT(原始数据!D2,LEN(原始数据!D2)-FIND(" ",原始数据!D2))*1-64512),"")))</f>
        <v/>
      </c>
    </row>
    <row r="3" spans="1:9">
      <c r="A3" s="1">
        <f t="shared" ref="A3:A77" si="0">ROW()-1</f>
        <v>2</v>
      </c>
      <c r="B3" s="2">
        <f>原始数据!A3</f>
        <v>0</v>
      </c>
      <c r="C3" s="2" t="str">
        <f>UPPER(原始数据!C3)</f>
        <v/>
      </c>
      <c r="D3" s="2" t="str">
        <f t="shared" ref="D3:D77" si="1">"OFF"</f>
        <v>OFF</v>
      </c>
      <c r="E3" s="2" t="str">
        <f t="shared" ref="E3:E77" si="2">"不保持"</f>
        <v>不保持</v>
      </c>
      <c r="F3" s="2" t="str">
        <f t="shared" ref="F3:F77" si="3">"私有"</f>
        <v>私有</v>
      </c>
      <c r="I3" t="str" cm="1">
        <f t="array" ref="I3">IF(ISNUMBER(SEARCH("Reg",原始数据!D3)),"D"&amp;(SUMPRODUCT((ISNUMBER(SEARCH("Reg",原始数据!$D$2:D3)))*(IF(ISNUMBER(SEARCH("Real",原始数据!$C$2:C3))+ISNUMBER(SEARCH("DInt",原始数据!$C$2:C3))&gt;0,2,1)))-IF(ISNUMBER(SEARCH("Real",原始数据!C3))+ISNUMBER(SEARCH("DInt",原始数据!C3))&gt;0,2,1)),IF(原始数据!B3="Input","X"&amp;DEC2OCT(RIGHT(原始数据!D3,LEN(原始数据!D3)-FIND(" ",原始数据!D3))*1-63488),IF(原始数据!B3="Output","Y"&amp;DEC2OCT(RIGHT(原始数据!D3,LEN(原始数据!D3)-FIND(" ",原始数据!D3))*1-64512),"")))</f>
        <v/>
      </c>
    </row>
    <row r="4" spans="1:9">
      <c r="A4" s="1">
        <f t="shared" si="0"/>
        <v>3</v>
      </c>
      <c r="B4" s="2">
        <f>原始数据!A4</f>
        <v>0</v>
      </c>
      <c r="C4" s="2" t="str">
        <f>UPPER(原始数据!C4)</f>
        <v/>
      </c>
      <c r="D4" s="2" t="str">
        <f t="shared" si="1"/>
        <v>OFF</v>
      </c>
      <c r="E4" s="2" t="str">
        <f t="shared" si="2"/>
        <v>不保持</v>
      </c>
      <c r="F4" s="2" t="str">
        <f t="shared" si="3"/>
        <v>私有</v>
      </c>
      <c r="I4" t="str" cm="1">
        <f t="array" ref="I4">IF(ISNUMBER(SEARCH("Reg",原始数据!D4)),"D"&amp;(SUMPRODUCT((ISNUMBER(SEARCH("Reg",原始数据!$D$2:D4)))*(IF(ISNUMBER(SEARCH("Real",原始数据!$C$2:C4))+ISNUMBER(SEARCH("DInt",原始数据!$C$2:C4))&gt;0,2,1)))-IF(ISNUMBER(SEARCH("Real",原始数据!C4))+ISNUMBER(SEARCH("DInt",原始数据!C4))&gt;0,2,1)),IF(原始数据!B4="Input","X"&amp;DEC2OCT(RIGHT(原始数据!D4,LEN(原始数据!D4)-FIND(" ",原始数据!D4))*1-63488),IF(原始数据!B4="Output","Y"&amp;DEC2OCT(RIGHT(原始数据!D4,LEN(原始数据!D4)-FIND(" ",原始数据!D4))*1-64512),"")))</f>
        <v/>
      </c>
    </row>
    <row r="5" spans="1:9">
      <c r="A5" s="1">
        <f t="shared" si="0"/>
        <v>4</v>
      </c>
      <c r="B5" s="2">
        <f>原始数据!A5</f>
        <v>0</v>
      </c>
      <c r="C5" s="2" t="str">
        <f>UPPER(原始数据!C5)</f>
        <v/>
      </c>
      <c r="D5" s="2" t="str">
        <f t="shared" si="1"/>
        <v>OFF</v>
      </c>
      <c r="E5" s="2" t="str">
        <f t="shared" si="2"/>
        <v>不保持</v>
      </c>
      <c r="F5" s="2" t="str">
        <f t="shared" si="3"/>
        <v>私有</v>
      </c>
      <c r="I5" t="str" cm="1">
        <f t="array" ref="I5">IF(ISNUMBER(SEARCH("Reg",原始数据!D5)),"D"&amp;(SUMPRODUCT((ISNUMBER(SEARCH("Reg",原始数据!$D$2:D5)))*(IF(ISNUMBER(SEARCH("Real",原始数据!$C$2:C5))+ISNUMBER(SEARCH("DInt",原始数据!$C$2:C5))&gt;0,2,1)))-IF(ISNUMBER(SEARCH("Real",原始数据!C5))+ISNUMBER(SEARCH("DInt",原始数据!C5))&gt;0,2,1)),IF(原始数据!B5="Input","X"&amp;DEC2OCT(RIGHT(原始数据!D5,LEN(原始数据!D5)-FIND(" ",原始数据!D5))*1-63488),IF(原始数据!B5="Output","Y"&amp;DEC2OCT(RIGHT(原始数据!D5,LEN(原始数据!D5)-FIND(" ",原始数据!D5))*1-64512),"")))</f>
        <v/>
      </c>
    </row>
    <row r="6" spans="1:9">
      <c r="A6" s="1">
        <f t="shared" si="0"/>
        <v>5</v>
      </c>
      <c r="B6" s="2">
        <f>原始数据!A6</f>
        <v>0</v>
      </c>
      <c r="C6" s="2" t="str">
        <f>UPPER(原始数据!C6)</f>
        <v/>
      </c>
      <c r="D6" s="2" t="str">
        <f t="shared" si="1"/>
        <v>OFF</v>
      </c>
      <c r="E6" s="2" t="str">
        <f t="shared" si="2"/>
        <v>不保持</v>
      </c>
      <c r="F6" s="2" t="str">
        <f t="shared" si="3"/>
        <v>私有</v>
      </c>
      <c r="I6" t="str" cm="1">
        <f t="array" ref="I6">IF(ISNUMBER(SEARCH("Reg",原始数据!D6)),"D"&amp;(SUMPRODUCT((ISNUMBER(SEARCH("Reg",原始数据!$D$2:D6)))*(IF(ISNUMBER(SEARCH("Real",原始数据!$C$2:C6))+ISNUMBER(SEARCH("DInt",原始数据!$C$2:C6))&gt;0,2,1)))-IF(ISNUMBER(SEARCH("Real",原始数据!C6))+ISNUMBER(SEARCH("DInt",原始数据!C6))&gt;0,2,1)),IF(原始数据!B6="Input","X"&amp;DEC2OCT(RIGHT(原始数据!D6,LEN(原始数据!D6)-FIND(" ",原始数据!D6))*1-63488),IF(原始数据!B6="Output","Y"&amp;DEC2OCT(RIGHT(原始数据!D6,LEN(原始数据!D6)-FIND(" ",原始数据!D6))*1-64512),"")))</f>
        <v/>
      </c>
    </row>
    <row r="7" spans="1:9">
      <c r="A7" s="1">
        <f t="shared" si="0"/>
        <v>6</v>
      </c>
      <c r="B7" s="2">
        <f>原始数据!A7</f>
        <v>0</v>
      </c>
      <c r="C7" s="2" t="str">
        <f>UPPER(原始数据!C7)</f>
        <v/>
      </c>
      <c r="D7" s="2" t="str">
        <f t="shared" si="1"/>
        <v>OFF</v>
      </c>
      <c r="E7" s="2" t="str">
        <f t="shared" si="2"/>
        <v>不保持</v>
      </c>
      <c r="F7" s="2" t="str">
        <f t="shared" si="3"/>
        <v>私有</v>
      </c>
      <c r="I7" t="str" cm="1">
        <f t="array" ref="I7">IF(ISNUMBER(SEARCH("Reg",原始数据!D7)),"D"&amp;(SUMPRODUCT((ISNUMBER(SEARCH("Reg",原始数据!$D$2:D7)))*(IF(ISNUMBER(SEARCH("Real",原始数据!$C$2:C7))+ISNUMBER(SEARCH("DInt",原始数据!$C$2:C7))&gt;0,2,1)))-IF(ISNUMBER(SEARCH("Real",原始数据!C7))+ISNUMBER(SEARCH("DInt",原始数据!C7))&gt;0,2,1)),IF(原始数据!B7="Input","X"&amp;DEC2OCT(RIGHT(原始数据!D7,LEN(原始数据!D7)-FIND(" ",原始数据!D7))*1-63488),IF(原始数据!B7="Output","Y"&amp;DEC2OCT(RIGHT(原始数据!D7,LEN(原始数据!D7)-FIND(" ",原始数据!D7))*1-64512),"")))</f>
        <v/>
      </c>
    </row>
    <row r="8" spans="1:9">
      <c r="A8" s="1">
        <f t="shared" si="0"/>
        <v>7</v>
      </c>
      <c r="B8" s="2">
        <f>原始数据!A8</f>
        <v>0</v>
      </c>
      <c r="C8" s="2" t="str">
        <f>UPPER(原始数据!C8)</f>
        <v/>
      </c>
      <c r="D8" s="2" t="str">
        <f t="shared" si="1"/>
        <v>OFF</v>
      </c>
      <c r="E8" s="2" t="str">
        <f t="shared" si="2"/>
        <v>不保持</v>
      </c>
      <c r="F8" s="2" t="str">
        <f t="shared" si="3"/>
        <v>私有</v>
      </c>
      <c r="I8" t="str" cm="1">
        <f t="array" ref="I8">IF(ISNUMBER(SEARCH("Reg",原始数据!D8)),"D"&amp;(SUMPRODUCT((ISNUMBER(SEARCH("Reg",原始数据!$D$2:D8)))*(IF(ISNUMBER(SEARCH("Real",原始数据!$C$2:C8))+ISNUMBER(SEARCH("DInt",原始数据!$C$2:C8))&gt;0,2,1)))-IF(ISNUMBER(SEARCH("Real",原始数据!C8))+ISNUMBER(SEARCH("DInt",原始数据!C8))&gt;0,2,1)),IF(原始数据!B8="Input","X"&amp;DEC2OCT(RIGHT(原始数据!D8,LEN(原始数据!D8)-FIND(" ",原始数据!D8))*1-63488),IF(原始数据!B8="Output","Y"&amp;DEC2OCT(RIGHT(原始数据!D8,LEN(原始数据!D8)-FIND(" ",原始数据!D8))*1-64512),"")))</f>
        <v/>
      </c>
    </row>
    <row r="9" spans="1:9">
      <c r="A9" s="1">
        <f t="shared" si="0"/>
        <v>8</v>
      </c>
      <c r="B9" s="2">
        <f>原始数据!A9</f>
        <v>0</v>
      </c>
      <c r="C9" s="2" t="str">
        <f>UPPER(原始数据!C9)</f>
        <v/>
      </c>
      <c r="D9" s="2" t="str">
        <f t="shared" si="1"/>
        <v>OFF</v>
      </c>
      <c r="E9" s="2" t="str">
        <f t="shared" si="2"/>
        <v>不保持</v>
      </c>
      <c r="F9" s="2" t="str">
        <f t="shared" si="3"/>
        <v>私有</v>
      </c>
      <c r="I9" t="str" cm="1">
        <f t="array" ref="I9">IF(ISNUMBER(SEARCH("Reg",原始数据!D9)),"D"&amp;(SUMPRODUCT((ISNUMBER(SEARCH("Reg",原始数据!$D$2:D9)))*(IF(ISNUMBER(SEARCH("Real",原始数据!$C$2:C9))+ISNUMBER(SEARCH("DInt",原始数据!$C$2:C9))&gt;0,2,1)))-IF(ISNUMBER(SEARCH("Real",原始数据!C9))+ISNUMBER(SEARCH("DInt",原始数据!C9))&gt;0,2,1)),IF(原始数据!B9="Input","X"&amp;DEC2OCT(RIGHT(原始数据!D9,LEN(原始数据!D9)-FIND(" ",原始数据!D9))*1-63488),IF(原始数据!B9="Output","Y"&amp;DEC2OCT(RIGHT(原始数据!D9,LEN(原始数据!D9)-FIND(" ",原始数据!D9))*1-64512),"")))</f>
        <v/>
      </c>
    </row>
    <row r="10" spans="1:9">
      <c r="A10" s="1">
        <f t="shared" si="0"/>
        <v>9</v>
      </c>
      <c r="B10" s="2">
        <f>原始数据!A10</f>
        <v>0</v>
      </c>
      <c r="C10" s="2" t="str">
        <f>UPPER(原始数据!C10)</f>
        <v/>
      </c>
      <c r="D10" s="2" t="str">
        <f t="shared" si="1"/>
        <v>OFF</v>
      </c>
      <c r="E10" s="2" t="str">
        <f t="shared" si="2"/>
        <v>不保持</v>
      </c>
      <c r="F10" s="2" t="str">
        <f t="shared" si="3"/>
        <v>私有</v>
      </c>
      <c r="I10" t="str" cm="1">
        <f t="array" ref="I10">IF(ISNUMBER(SEARCH("Reg",原始数据!D10)),"D"&amp;(SUMPRODUCT((ISNUMBER(SEARCH("Reg",原始数据!$D$2:D10)))*(IF(ISNUMBER(SEARCH("Real",原始数据!$C$2:C10))+ISNUMBER(SEARCH("DInt",原始数据!$C$2:C10))&gt;0,2,1)))-IF(ISNUMBER(SEARCH("Real",原始数据!C10))+ISNUMBER(SEARCH("DInt",原始数据!C10))&gt;0,2,1)),IF(原始数据!B10="Input","X"&amp;DEC2OCT(RIGHT(原始数据!D10,LEN(原始数据!D10)-FIND(" ",原始数据!D10))*1-63488),IF(原始数据!B10="Output","Y"&amp;DEC2OCT(RIGHT(原始数据!D10,LEN(原始数据!D10)-FIND(" ",原始数据!D10))*1-64512),"")))</f>
        <v/>
      </c>
    </row>
    <row r="11" spans="1:9">
      <c r="A11" s="1">
        <f t="shared" si="0"/>
        <v>10</v>
      </c>
      <c r="B11" s="2">
        <f>原始数据!A11</f>
        <v>0</v>
      </c>
      <c r="C11" s="2" t="str">
        <f>UPPER(原始数据!C11)</f>
        <v/>
      </c>
      <c r="D11" s="2" t="str">
        <f t="shared" si="1"/>
        <v>OFF</v>
      </c>
      <c r="E11" s="2" t="str">
        <f t="shared" si="2"/>
        <v>不保持</v>
      </c>
      <c r="F11" s="2" t="str">
        <f t="shared" si="3"/>
        <v>私有</v>
      </c>
      <c r="I11" t="str" cm="1">
        <f t="array" ref="I11">IF(ISNUMBER(SEARCH("Reg",原始数据!D11)),"D"&amp;(SUMPRODUCT((ISNUMBER(SEARCH("Reg",原始数据!$D$2:D11)))*(IF(ISNUMBER(SEARCH("Real",原始数据!$C$2:C11))+ISNUMBER(SEARCH("DInt",原始数据!$C$2:C11))&gt;0,2,1)))-IF(ISNUMBER(SEARCH("Real",原始数据!C11))+ISNUMBER(SEARCH("DInt",原始数据!C11))&gt;0,2,1)),IF(原始数据!B11="Input","X"&amp;DEC2OCT(RIGHT(原始数据!D11,LEN(原始数据!D11)-FIND(" ",原始数据!D11))*1-63488),IF(原始数据!B11="Output","Y"&amp;DEC2OCT(RIGHT(原始数据!D11,LEN(原始数据!D11)-FIND(" ",原始数据!D11))*1-64512),"")))</f>
        <v/>
      </c>
    </row>
    <row r="12" spans="1:9">
      <c r="A12" s="1">
        <f t="shared" si="0"/>
        <v>11</v>
      </c>
      <c r="B12" s="2">
        <f>原始数据!A12</f>
        <v>0</v>
      </c>
      <c r="C12" s="2" t="str">
        <f>UPPER(原始数据!C12)</f>
        <v/>
      </c>
      <c r="D12" s="2" t="str">
        <f t="shared" si="1"/>
        <v>OFF</v>
      </c>
      <c r="E12" s="2" t="str">
        <f t="shared" si="2"/>
        <v>不保持</v>
      </c>
      <c r="F12" s="2" t="str">
        <f t="shared" si="3"/>
        <v>私有</v>
      </c>
      <c r="I12" t="str" cm="1">
        <f t="array" ref="I12">IF(ISNUMBER(SEARCH("Reg",原始数据!D12)),"D"&amp;(SUMPRODUCT((ISNUMBER(SEARCH("Reg",原始数据!$D$2:D12)))*(IF(ISNUMBER(SEARCH("Real",原始数据!$C$2:C12))+ISNUMBER(SEARCH("DInt",原始数据!$C$2:C12))&gt;0,2,1)))-IF(ISNUMBER(SEARCH("Real",原始数据!C12))+ISNUMBER(SEARCH("DInt",原始数据!C12))&gt;0,2,1)),IF(原始数据!B12="Input","X"&amp;DEC2OCT(RIGHT(原始数据!D12,LEN(原始数据!D12)-FIND(" ",原始数据!D12))*1-63488),IF(原始数据!B12="Output","Y"&amp;DEC2OCT(RIGHT(原始数据!D12,LEN(原始数据!D12)-FIND(" ",原始数据!D12))*1-64512),"")))</f>
        <v/>
      </c>
    </row>
    <row r="13" spans="1:9">
      <c r="A13" s="1">
        <f t="shared" si="0"/>
        <v>12</v>
      </c>
      <c r="B13" s="2">
        <f>原始数据!A13</f>
        <v>0</v>
      </c>
      <c r="C13" s="2" t="str">
        <f>UPPER(原始数据!C13)</f>
        <v/>
      </c>
      <c r="D13" s="2" t="str">
        <f t="shared" si="1"/>
        <v>OFF</v>
      </c>
      <c r="E13" s="2" t="str">
        <f t="shared" si="2"/>
        <v>不保持</v>
      </c>
      <c r="F13" s="2" t="str">
        <f t="shared" si="3"/>
        <v>私有</v>
      </c>
      <c r="I13" t="str" cm="1">
        <f t="array" ref="I13">IF(ISNUMBER(SEARCH("Reg",原始数据!D13)),"D"&amp;(SUMPRODUCT((ISNUMBER(SEARCH("Reg",原始数据!$D$2:D13)))*(IF(ISNUMBER(SEARCH("Real",原始数据!$C$2:C13))+ISNUMBER(SEARCH("DInt",原始数据!$C$2:C13))&gt;0,2,1)))-IF(ISNUMBER(SEARCH("Real",原始数据!C13))+ISNUMBER(SEARCH("DInt",原始数据!C13))&gt;0,2,1)),IF(原始数据!B13="Input","X"&amp;DEC2OCT(RIGHT(原始数据!D13,LEN(原始数据!D13)-FIND(" ",原始数据!D13))*1-63488),IF(原始数据!B13="Output","Y"&amp;DEC2OCT(RIGHT(原始数据!D13,LEN(原始数据!D13)-FIND(" ",原始数据!D13))*1-64512),"")))</f>
        <v/>
      </c>
    </row>
    <row r="14" spans="1:9">
      <c r="A14" s="1">
        <f t="shared" si="0"/>
        <v>13</v>
      </c>
      <c r="B14" s="2">
        <f>原始数据!A14</f>
        <v>0</v>
      </c>
      <c r="C14" s="2" t="str">
        <f>UPPER(原始数据!C14)</f>
        <v/>
      </c>
      <c r="D14" s="2" t="str">
        <f t="shared" si="1"/>
        <v>OFF</v>
      </c>
      <c r="E14" s="2" t="str">
        <f t="shared" si="2"/>
        <v>不保持</v>
      </c>
      <c r="F14" s="2" t="str">
        <f t="shared" si="3"/>
        <v>私有</v>
      </c>
      <c r="I14" t="str" cm="1">
        <f t="array" ref="I14">IF(ISNUMBER(SEARCH("Reg",原始数据!D14)),"D"&amp;(SUMPRODUCT((ISNUMBER(SEARCH("Reg",原始数据!$D$2:D14)))*(IF(ISNUMBER(SEARCH("Real",原始数据!$C$2:C14))+ISNUMBER(SEARCH("DInt",原始数据!$C$2:C14))&gt;0,2,1)))-IF(ISNUMBER(SEARCH("Real",原始数据!C14))+ISNUMBER(SEARCH("DInt",原始数据!C14))&gt;0,2,1)),IF(原始数据!B14="Input","X"&amp;DEC2OCT(RIGHT(原始数据!D14,LEN(原始数据!D14)-FIND(" ",原始数据!D14))*1-63488),IF(原始数据!B14="Output","Y"&amp;DEC2OCT(RIGHT(原始数据!D14,LEN(原始数据!D14)-FIND(" ",原始数据!D14))*1-64512),"")))</f>
        <v/>
      </c>
    </row>
    <row r="15" spans="1:9">
      <c r="A15" s="1">
        <f t="shared" si="0"/>
        <v>14</v>
      </c>
      <c r="B15" s="2">
        <f>原始数据!A15</f>
        <v>0</v>
      </c>
      <c r="C15" s="2" t="str">
        <f>UPPER(原始数据!C15)</f>
        <v/>
      </c>
      <c r="D15" s="2" t="str">
        <f t="shared" si="1"/>
        <v>OFF</v>
      </c>
      <c r="E15" s="2" t="str">
        <f t="shared" si="2"/>
        <v>不保持</v>
      </c>
      <c r="F15" s="2" t="str">
        <f t="shared" si="3"/>
        <v>私有</v>
      </c>
      <c r="I15" t="str" cm="1">
        <f t="array" ref="I15">IF(ISNUMBER(SEARCH("Reg",原始数据!D15)),"D"&amp;(SUMPRODUCT((ISNUMBER(SEARCH("Reg",原始数据!$D$2:D15)))*(IF(ISNUMBER(SEARCH("Real",原始数据!$C$2:C15))+ISNUMBER(SEARCH("DInt",原始数据!$C$2:C15))&gt;0,2,1)))-IF(ISNUMBER(SEARCH("Real",原始数据!C15))+ISNUMBER(SEARCH("DInt",原始数据!C15))&gt;0,2,1)),IF(原始数据!B15="Input","X"&amp;DEC2OCT(RIGHT(原始数据!D15,LEN(原始数据!D15)-FIND(" ",原始数据!D15))*1-63488),IF(原始数据!B15="Output","Y"&amp;DEC2OCT(RIGHT(原始数据!D15,LEN(原始数据!D15)-FIND(" ",原始数据!D15))*1-64512),"")))</f>
        <v/>
      </c>
    </row>
    <row r="16" spans="1:9">
      <c r="A16" s="1">
        <f t="shared" si="0"/>
        <v>15</v>
      </c>
      <c r="B16" s="2">
        <f>原始数据!A16</f>
        <v>0</v>
      </c>
      <c r="C16" s="2" t="str">
        <f>UPPER(原始数据!C16)</f>
        <v/>
      </c>
      <c r="D16" s="2" t="str">
        <f t="shared" si="1"/>
        <v>OFF</v>
      </c>
      <c r="E16" s="2" t="str">
        <f t="shared" si="2"/>
        <v>不保持</v>
      </c>
      <c r="F16" s="2" t="str">
        <f t="shared" si="3"/>
        <v>私有</v>
      </c>
      <c r="I16" t="str" cm="1">
        <f t="array" ref="I16">IF(ISNUMBER(SEARCH("Reg",原始数据!D16)),"D"&amp;(SUMPRODUCT((ISNUMBER(SEARCH("Reg",原始数据!$D$2:D16)))*(IF(ISNUMBER(SEARCH("Real",原始数据!$C$2:C16))+ISNUMBER(SEARCH("DInt",原始数据!$C$2:C16))&gt;0,2,1)))-IF(ISNUMBER(SEARCH("Real",原始数据!C16))+ISNUMBER(SEARCH("DInt",原始数据!C16))&gt;0,2,1)),IF(原始数据!B16="Input","X"&amp;DEC2OCT(RIGHT(原始数据!D16,LEN(原始数据!D16)-FIND(" ",原始数据!D16))*1-63488),IF(原始数据!B16="Output","Y"&amp;DEC2OCT(RIGHT(原始数据!D16,LEN(原始数据!D16)-FIND(" ",原始数据!D16))*1-64512),"")))</f>
        <v/>
      </c>
    </row>
    <row r="17" spans="1:9">
      <c r="A17" s="1">
        <f t="shared" si="0"/>
        <v>16</v>
      </c>
      <c r="B17" s="2">
        <f>原始数据!A17</f>
        <v>0</v>
      </c>
      <c r="C17" s="2" t="str">
        <f>UPPER(原始数据!C17)</f>
        <v/>
      </c>
      <c r="D17" s="2" t="str">
        <f t="shared" si="1"/>
        <v>OFF</v>
      </c>
      <c r="E17" s="2" t="str">
        <f t="shared" si="2"/>
        <v>不保持</v>
      </c>
      <c r="F17" s="2" t="str">
        <f t="shared" si="3"/>
        <v>私有</v>
      </c>
      <c r="I17" t="str" cm="1">
        <f t="array" ref="I17">IF(ISNUMBER(SEARCH("Reg",原始数据!D17)),"D"&amp;(SUMPRODUCT((ISNUMBER(SEARCH("Reg",原始数据!$D$2:D17)))*(IF(ISNUMBER(SEARCH("Real",原始数据!$C$2:C17))+ISNUMBER(SEARCH("DInt",原始数据!$C$2:C17))&gt;0,2,1)))-IF(ISNUMBER(SEARCH("Real",原始数据!C17))+ISNUMBER(SEARCH("DInt",原始数据!C17))&gt;0,2,1)),IF(原始数据!B17="Input","X"&amp;DEC2OCT(RIGHT(原始数据!D17,LEN(原始数据!D17)-FIND(" ",原始数据!D17))*1-63488),IF(原始数据!B17="Output","Y"&amp;DEC2OCT(RIGHT(原始数据!D17,LEN(原始数据!D17)-FIND(" ",原始数据!D17))*1-64512),"")))</f>
        <v/>
      </c>
    </row>
    <row r="18" spans="1:9">
      <c r="A18" s="1">
        <f t="shared" si="0"/>
        <v>17</v>
      </c>
      <c r="B18" s="2">
        <f>原始数据!A18</f>
        <v>0</v>
      </c>
      <c r="C18" s="2" t="str">
        <f>UPPER(原始数据!C18)</f>
        <v/>
      </c>
      <c r="D18" s="2" t="str">
        <f t="shared" si="1"/>
        <v>OFF</v>
      </c>
      <c r="E18" s="2" t="str">
        <f t="shared" si="2"/>
        <v>不保持</v>
      </c>
      <c r="F18" s="2" t="str">
        <f t="shared" si="3"/>
        <v>私有</v>
      </c>
      <c r="I18" t="str" cm="1">
        <f t="array" ref="I18">IF(ISNUMBER(SEARCH("Reg",原始数据!D18)),"D"&amp;(SUMPRODUCT((ISNUMBER(SEARCH("Reg",原始数据!$D$2:D18)))*(IF(ISNUMBER(SEARCH("Real",原始数据!$C$2:C18))+ISNUMBER(SEARCH("DInt",原始数据!$C$2:C18))&gt;0,2,1)))-IF(ISNUMBER(SEARCH("Real",原始数据!C18))+ISNUMBER(SEARCH("DInt",原始数据!C18))&gt;0,2,1)),IF(原始数据!B18="Input","X"&amp;DEC2OCT(RIGHT(原始数据!D18,LEN(原始数据!D18)-FIND(" ",原始数据!D18))*1-63488),IF(原始数据!B18="Output","Y"&amp;DEC2OCT(RIGHT(原始数据!D18,LEN(原始数据!D18)-FIND(" ",原始数据!D18))*1-64512),"")))</f>
        <v/>
      </c>
    </row>
    <row r="19" spans="1:9">
      <c r="A19" s="1">
        <f t="shared" si="0"/>
        <v>18</v>
      </c>
      <c r="B19" s="2">
        <f>原始数据!A19</f>
        <v>0</v>
      </c>
      <c r="C19" s="2" t="str">
        <f>UPPER(原始数据!C19)</f>
        <v/>
      </c>
      <c r="D19" s="2" t="str">
        <f t="shared" si="1"/>
        <v>OFF</v>
      </c>
      <c r="E19" s="2" t="str">
        <f t="shared" si="2"/>
        <v>不保持</v>
      </c>
      <c r="F19" s="2" t="str">
        <f t="shared" si="3"/>
        <v>私有</v>
      </c>
      <c r="I19" t="str" cm="1">
        <f t="array" ref="I19">IF(ISNUMBER(SEARCH("Reg",原始数据!D19)),"D"&amp;(SUMPRODUCT((ISNUMBER(SEARCH("Reg",原始数据!$D$2:D19)))*(IF(ISNUMBER(SEARCH("Real",原始数据!$C$2:C19))+ISNUMBER(SEARCH("DInt",原始数据!$C$2:C19))&gt;0,2,1)))-IF(ISNUMBER(SEARCH("Real",原始数据!C19))+ISNUMBER(SEARCH("DInt",原始数据!C19))&gt;0,2,1)),IF(原始数据!B19="Input","X"&amp;DEC2OCT(RIGHT(原始数据!D19,LEN(原始数据!D19)-FIND(" ",原始数据!D19))*1-63488),IF(原始数据!B19="Output","Y"&amp;DEC2OCT(RIGHT(原始数据!D19,LEN(原始数据!D19)-FIND(" ",原始数据!D19))*1-64512),"")))</f>
        <v/>
      </c>
    </row>
    <row r="20" spans="1:9">
      <c r="A20" s="1">
        <f t="shared" si="0"/>
        <v>19</v>
      </c>
      <c r="B20" s="2">
        <f>原始数据!A20</f>
        <v>0</v>
      </c>
      <c r="C20" s="2" t="str">
        <f>UPPER(原始数据!C20)</f>
        <v/>
      </c>
      <c r="D20" s="2" t="str">
        <f t="shared" si="1"/>
        <v>OFF</v>
      </c>
      <c r="E20" s="2" t="str">
        <f t="shared" si="2"/>
        <v>不保持</v>
      </c>
      <c r="F20" s="2" t="str">
        <f t="shared" si="3"/>
        <v>私有</v>
      </c>
      <c r="I20" t="str" cm="1">
        <f t="array" ref="I20">IF(ISNUMBER(SEARCH("Reg",原始数据!D20)),"D"&amp;(SUMPRODUCT((ISNUMBER(SEARCH("Reg",原始数据!$D$2:D20)))*(IF(ISNUMBER(SEARCH("Real",原始数据!$C$2:C20))+ISNUMBER(SEARCH("DInt",原始数据!$C$2:C20))&gt;0,2,1)))-IF(ISNUMBER(SEARCH("Real",原始数据!C20))+ISNUMBER(SEARCH("DInt",原始数据!C20))&gt;0,2,1)),IF(原始数据!B20="Input","X"&amp;DEC2OCT(RIGHT(原始数据!D20,LEN(原始数据!D20)-FIND(" ",原始数据!D20))*1-63488),IF(原始数据!B20="Output","Y"&amp;DEC2OCT(RIGHT(原始数据!D20,LEN(原始数据!D20)-FIND(" ",原始数据!D20))*1-64512),"")))</f>
        <v/>
      </c>
    </row>
    <row r="21" spans="1:9">
      <c r="A21" s="1">
        <f t="shared" si="0"/>
        <v>20</v>
      </c>
      <c r="B21" s="2">
        <f>原始数据!A21</f>
        <v>0</v>
      </c>
      <c r="C21" s="2" t="str">
        <f>UPPER(原始数据!C21)</f>
        <v/>
      </c>
      <c r="D21" s="2" t="str">
        <f t="shared" si="1"/>
        <v>OFF</v>
      </c>
      <c r="E21" s="2" t="str">
        <f t="shared" si="2"/>
        <v>不保持</v>
      </c>
      <c r="F21" s="2" t="str">
        <f t="shared" si="3"/>
        <v>私有</v>
      </c>
      <c r="I21" t="str" cm="1">
        <f t="array" ref="I21">IF(ISNUMBER(SEARCH("Reg",原始数据!D21)),"D"&amp;(SUMPRODUCT((ISNUMBER(SEARCH("Reg",原始数据!$D$2:D21)))*(IF(ISNUMBER(SEARCH("Real",原始数据!$C$2:C21))+ISNUMBER(SEARCH("DInt",原始数据!$C$2:C21))&gt;0,2,1)))-IF(ISNUMBER(SEARCH("Real",原始数据!C21))+ISNUMBER(SEARCH("DInt",原始数据!C21))&gt;0,2,1)),IF(原始数据!B21="Input","X"&amp;DEC2OCT(RIGHT(原始数据!D21,LEN(原始数据!D21)-FIND(" ",原始数据!D21))*1-63488),IF(原始数据!B21="Output","Y"&amp;DEC2OCT(RIGHT(原始数据!D21,LEN(原始数据!D21)-FIND(" ",原始数据!D21))*1-64512),"")))</f>
        <v/>
      </c>
    </row>
    <row r="22" spans="1:9">
      <c r="A22" s="1">
        <f t="shared" si="0"/>
        <v>21</v>
      </c>
      <c r="B22" s="2">
        <f>原始数据!A22</f>
        <v>0</v>
      </c>
      <c r="C22" s="2" t="str">
        <f>UPPER(原始数据!C22)</f>
        <v/>
      </c>
      <c r="D22" s="2" t="str">
        <f t="shared" si="1"/>
        <v>OFF</v>
      </c>
      <c r="E22" s="2" t="str">
        <f t="shared" si="2"/>
        <v>不保持</v>
      </c>
      <c r="F22" s="2" t="str">
        <f t="shared" si="3"/>
        <v>私有</v>
      </c>
      <c r="I22" t="str" cm="1">
        <f t="array" ref="I22">IF(ISNUMBER(SEARCH("Reg",原始数据!D22)),"D"&amp;(SUMPRODUCT((ISNUMBER(SEARCH("Reg",原始数据!$D$2:D22)))*(IF(ISNUMBER(SEARCH("Real",原始数据!$C$2:C22))+ISNUMBER(SEARCH("DInt",原始数据!$C$2:C22))&gt;0,2,1)))-IF(ISNUMBER(SEARCH("Real",原始数据!C22))+ISNUMBER(SEARCH("DInt",原始数据!C22))&gt;0,2,1)),IF(原始数据!B22="Input","X"&amp;DEC2OCT(RIGHT(原始数据!D22,LEN(原始数据!D22)-FIND(" ",原始数据!D22))*1-63488),IF(原始数据!B22="Output","Y"&amp;DEC2OCT(RIGHT(原始数据!D22,LEN(原始数据!D22)-FIND(" ",原始数据!D22))*1-64512),"")))</f>
        <v/>
      </c>
    </row>
    <row r="23" spans="1:9">
      <c r="A23" s="1">
        <f t="shared" si="0"/>
        <v>22</v>
      </c>
      <c r="B23" s="2">
        <f>原始数据!A23</f>
        <v>0</v>
      </c>
      <c r="C23" s="2" t="str">
        <f>UPPER(原始数据!C23)</f>
        <v/>
      </c>
      <c r="D23" s="2" t="str">
        <f t="shared" si="1"/>
        <v>OFF</v>
      </c>
      <c r="E23" s="2" t="str">
        <f t="shared" si="2"/>
        <v>不保持</v>
      </c>
      <c r="F23" s="2" t="str">
        <f t="shared" si="3"/>
        <v>私有</v>
      </c>
      <c r="I23" t="str" cm="1">
        <f t="array" ref="I23">IF(ISNUMBER(SEARCH("Reg",原始数据!D23)),"D"&amp;(SUMPRODUCT((ISNUMBER(SEARCH("Reg",原始数据!$D$2:D23)))*(IF(ISNUMBER(SEARCH("Real",原始数据!$C$2:C23))+ISNUMBER(SEARCH("DInt",原始数据!$C$2:C23))&gt;0,2,1)))-IF(ISNUMBER(SEARCH("Real",原始数据!C23))+ISNUMBER(SEARCH("DInt",原始数据!C23))&gt;0,2,1)),IF(原始数据!B23="Input","X"&amp;DEC2OCT(RIGHT(原始数据!D23,LEN(原始数据!D23)-FIND(" ",原始数据!D23))*1-63488),IF(原始数据!B23="Output","Y"&amp;DEC2OCT(RIGHT(原始数据!D23,LEN(原始数据!D23)-FIND(" ",原始数据!D23))*1-64512),"")))</f>
        <v/>
      </c>
    </row>
    <row r="24" spans="1:9">
      <c r="A24" s="1">
        <f t="shared" si="0"/>
        <v>23</v>
      </c>
      <c r="B24" s="2">
        <f>原始数据!A24</f>
        <v>0</v>
      </c>
      <c r="C24" s="2" t="str">
        <f>UPPER(原始数据!C24)</f>
        <v/>
      </c>
      <c r="D24" s="2" t="str">
        <f t="shared" si="1"/>
        <v>OFF</v>
      </c>
      <c r="E24" s="2" t="str">
        <f t="shared" si="2"/>
        <v>不保持</v>
      </c>
      <c r="F24" s="2" t="str">
        <f t="shared" si="3"/>
        <v>私有</v>
      </c>
      <c r="I24" t="str" cm="1">
        <f t="array" ref="I24">IF(ISNUMBER(SEARCH("Reg",原始数据!D24)),"D"&amp;(SUMPRODUCT((ISNUMBER(SEARCH("Reg",原始数据!$D$2:D24)))*(IF(ISNUMBER(SEARCH("Real",原始数据!$C$2:C24))+ISNUMBER(SEARCH("DInt",原始数据!$C$2:C24))&gt;0,2,1)))-IF(ISNUMBER(SEARCH("Real",原始数据!C24))+ISNUMBER(SEARCH("DInt",原始数据!C24))&gt;0,2,1)),IF(原始数据!B24="Input","X"&amp;DEC2OCT(RIGHT(原始数据!D24,LEN(原始数据!D24)-FIND(" ",原始数据!D24))*1-63488),IF(原始数据!B24="Output","Y"&amp;DEC2OCT(RIGHT(原始数据!D24,LEN(原始数据!D24)-FIND(" ",原始数据!D24))*1-64512),"")))</f>
        <v/>
      </c>
    </row>
    <row r="25" spans="1:9">
      <c r="A25" s="1">
        <f t="shared" si="0"/>
        <v>24</v>
      </c>
      <c r="B25" s="2">
        <f>原始数据!A25</f>
        <v>0</v>
      </c>
      <c r="C25" s="2" t="str">
        <f>UPPER(原始数据!C25)</f>
        <v/>
      </c>
      <c r="D25" s="2" t="str">
        <f t="shared" si="1"/>
        <v>OFF</v>
      </c>
      <c r="E25" s="2" t="str">
        <f t="shared" si="2"/>
        <v>不保持</v>
      </c>
      <c r="F25" s="2" t="str">
        <f t="shared" si="3"/>
        <v>私有</v>
      </c>
      <c r="I25" t="str" cm="1">
        <f t="array" ref="I25">IF(ISNUMBER(SEARCH("Reg",原始数据!D25)),"D"&amp;(SUMPRODUCT((ISNUMBER(SEARCH("Reg",原始数据!$D$2:D25)))*(IF(ISNUMBER(SEARCH("Real",原始数据!$C$2:C25))+ISNUMBER(SEARCH("DInt",原始数据!$C$2:C25))&gt;0,2,1)))-IF(ISNUMBER(SEARCH("Real",原始数据!C25))+ISNUMBER(SEARCH("DInt",原始数据!C25))&gt;0,2,1)),IF(原始数据!B25="Input","X"&amp;DEC2OCT(RIGHT(原始数据!D25,LEN(原始数据!D25)-FIND(" ",原始数据!D25))*1-63488),IF(原始数据!B25="Output","Y"&amp;DEC2OCT(RIGHT(原始数据!D25,LEN(原始数据!D25)-FIND(" ",原始数据!D25))*1-64512),"")))</f>
        <v/>
      </c>
    </row>
    <row r="26" spans="1:9">
      <c r="A26" s="1">
        <f t="shared" si="0"/>
        <v>25</v>
      </c>
      <c r="B26" s="2">
        <f>原始数据!A26</f>
        <v>0</v>
      </c>
      <c r="C26" s="2" t="str">
        <f>UPPER(原始数据!C26)</f>
        <v/>
      </c>
      <c r="D26" s="2" t="str">
        <f t="shared" si="1"/>
        <v>OFF</v>
      </c>
      <c r="E26" s="2" t="str">
        <f t="shared" si="2"/>
        <v>不保持</v>
      </c>
      <c r="F26" s="2" t="str">
        <f t="shared" si="3"/>
        <v>私有</v>
      </c>
      <c r="I26" t="str" cm="1">
        <f t="array" ref="I26">IF(ISNUMBER(SEARCH("Reg",原始数据!D26)),"D"&amp;(SUMPRODUCT((ISNUMBER(SEARCH("Reg",原始数据!$D$2:D26)))*(IF(ISNUMBER(SEARCH("Real",原始数据!$C$2:C26))+ISNUMBER(SEARCH("DInt",原始数据!$C$2:C26))&gt;0,2,1)))-IF(ISNUMBER(SEARCH("Real",原始数据!C26))+ISNUMBER(SEARCH("DInt",原始数据!C26))&gt;0,2,1)),IF(原始数据!B26="Input","X"&amp;DEC2OCT(RIGHT(原始数据!D26,LEN(原始数据!D26)-FIND(" ",原始数据!D26))*1-63488),IF(原始数据!B26="Output","Y"&amp;DEC2OCT(RIGHT(原始数据!D26,LEN(原始数据!D26)-FIND(" ",原始数据!D26))*1-64512),"")))</f>
        <v/>
      </c>
    </row>
    <row r="27" spans="1:9">
      <c r="A27" s="1">
        <f t="shared" si="0"/>
        <v>26</v>
      </c>
      <c r="B27" s="2">
        <f>原始数据!A27</f>
        <v>0</v>
      </c>
      <c r="C27" s="2" t="str">
        <f>UPPER(原始数据!C27)</f>
        <v/>
      </c>
      <c r="D27" s="2" t="str">
        <f t="shared" si="1"/>
        <v>OFF</v>
      </c>
      <c r="E27" s="2" t="str">
        <f t="shared" si="2"/>
        <v>不保持</v>
      </c>
      <c r="F27" s="2" t="str">
        <f t="shared" si="3"/>
        <v>私有</v>
      </c>
      <c r="I27" t="str" cm="1">
        <f t="array" ref="I27">IF(ISNUMBER(SEARCH("Reg",原始数据!D27)),"D"&amp;(SUMPRODUCT((ISNUMBER(SEARCH("Reg",原始数据!$D$2:D27)))*(IF(ISNUMBER(SEARCH("Real",原始数据!$C$2:C27))+ISNUMBER(SEARCH("DInt",原始数据!$C$2:C27))&gt;0,2,1)))-IF(ISNUMBER(SEARCH("Real",原始数据!C27))+ISNUMBER(SEARCH("DInt",原始数据!C27))&gt;0,2,1)),IF(原始数据!B27="Input","X"&amp;DEC2OCT(RIGHT(原始数据!D27,LEN(原始数据!D27)-FIND(" ",原始数据!D27))*1-63488),IF(原始数据!B27="Output","Y"&amp;DEC2OCT(RIGHT(原始数据!D27,LEN(原始数据!D27)-FIND(" ",原始数据!D27))*1-64512),"")))</f>
        <v/>
      </c>
    </row>
    <row r="28" spans="1:9">
      <c r="A28" s="1">
        <f t="shared" si="0"/>
        <v>27</v>
      </c>
      <c r="B28" s="2">
        <f>原始数据!A28</f>
        <v>0</v>
      </c>
      <c r="C28" s="2" t="str">
        <f>UPPER(原始数据!C28)</f>
        <v/>
      </c>
      <c r="D28" s="2" t="str">
        <f t="shared" si="1"/>
        <v>OFF</v>
      </c>
      <c r="E28" s="2" t="str">
        <f t="shared" si="2"/>
        <v>不保持</v>
      </c>
      <c r="F28" s="2" t="str">
        <f t="shared" si="3"/>
        <v>私有</v>
      </c>
      <c r="I28" t="str" cm="1">
        <f t="array" ref="I28">IF(ISNUMBER(SEARCH("Reg",原始数据!D28)),"D"&amp;(SUMPRODUCT((ISNUMBER(SEARCH("Reg",原始数据!$D$2:D28)))*(IF(ISNUMBER(SEARCH("Real",原始数据!$C$2:C28))+ISNUMBER(SEARCH("DInt",原始数据!$C$2:C28))&gt;0,2,1)))-IF(ISNUMBER(SEARCH("Real",原始数据!C28))+ISNUMBER(SEARCH("DInt",原始数据!C28))&gt;0,2,1)),IF(原始数据!B28="Input","X"&amp;DEC2OCT(RIGHT(原始数据!D28,LEN(原始数据!D28)-FIND(" ",原始数据!D28))*1-63488),IF(原始数据!B28="Output","Y"&amp;DEC2OCT(RIGHT(原始数据!D28,LEN(原始数据!D28)-FIND(" ",原始数据!D28))*1-64512),"")))</f>
        <v/>
      </c>
    </row>
    <row r="29" spans="1:9">
      <c r="A29" s="1">
        <f t="shared" si="0"/>
        <v>28</v>
      </c>
      <c r="B29" s="2">
        <f>原始数据!A29</f>
        <v>0</v>
      </c>
      <c r="C29" s="2" t="str">
        <f>UPPER(原始数据!C29)</f>
        <v/>
      </c>
      <c r="D29" s="2" t="str">
        <f t="shared" si="1"/>
        <v>OFF</v>
      </c>
      <c r="E29" s="2" t="str">
        <f t="shared" si="2"/>
        <v>不保持</v>
      </c>
      <c r="F29" s="2" t="str">
        <f t="shared" si="3"/>
        <v>私有</v>
      </c>
      <c r="I29" t="str" cm="1">
        <f t="array" ref="I29">IF(ISNUMBER(SEARCH("Reg",原始数据!D29)),"D"&amp;(SUMPRODUCT((ISNUMBER(SEARCH("Reg",原始数据!$D$2:D29)))*(IF(ISNUMBER(SEARCH("Real",原始数据!$C$2:C29))+ISNUMBER(SEARCH("DInt",原始数据!$C$2:C29))&gt;0,2,1)))-IF(ISNUMBER(SEARCH("Real",原始数据!C29))+ISNUMBER(SEARCH("DInt",原始数据!C29))&gt;0,2,1)),IF(原始数据!B29="Input","X"&amp;DEC2OCT(RIGHT(原始数据!D29,LEN(原始数据!D29)-FIND(" ",原始数据!D29))*1-63488),IF(原始数据!B29="Output","Y"&amp;DEC2OCT(RIGHT(原始数据!D29,LEN(原始数据!D29)-FIND(" ",原始数据!D29))*1-64512),"")))</f>
        <v/>
      </c>
    </row>
    <row r="30" spans="1:9">
      <c r="A30" s="1">
        <f t="shared" si="0"/>
        <v>29</v>
      </c>
      <c r="B30" s="2">
        <f>原始数据!A30</f>
        <v>0</v>
      </c>
      <c r="C30" s="2" t="str">
        <f>UPPER(原始数据!C30)</f>
        <v/>
      </c>
      <c r="D30" s="2" t="str">
        <f t="shared" si="1"/>
        <v>OFF</v>
      </c>
      <c r="E30" s="2" t="str">
        <f t="shared" si="2"/>
        <v>不保持</v>
      </c>
      <c r="F30" s="2" t="str">
        <f t="shared" si="3"/>
        <v>私有</v>
      </c>
      <c r="I30" t="str" cm="1">
        <f t="array" ref="I30">IF(ISNUMBER(SEARCH("Reg",原始数据!D30)),"D"&amp;(SUMPRODUCT((ISNUMBER(SEARCH("Reg",原始数据!$D$2:D30)))*(IF(ISNUMBER(SEARCH("Real",原始数据!$C$2:C30))+ISNUMBER(SEARCH("DInt",原始数据!$C$2:C30))&gt;0,2,1)))-IF(ISNUMBER(SEARCH("Real",原始数据!C30))+ISNUMBER(SEARCH("DInt",原始数据!C30))&gt;0,2,1)),IF(原始数据!B30="Input","X"&amp;DEC2OCT(RIGHT(原始数据!D30,LEN(原始数据!D30)-FIND(" ",原始数据!D30))*1-63488),IF(原始数据!B30="Output","Y"&amp;DEC2OCT(RIGHT(原始数据!D30,LEN(原始数据!D30)-FIND(" ",原始数据!D30))*1-64512),"")))</f>
        <v/>
      </c>
    </row>
    <row r="31" spans="1:9">
      <c r="A31" s="1">
        <f t="shared" si="0"/>
        <v>30</v>
      </c>
      <c r="B31" s="2">
        <f>原始数据!A31</f>
        <v>0</v>
      </c>
      <c r="C31" s="2" t="str">
        <f>UPPER(原始数据!C31)</f>
        <v/>
      </c>
      <c r="D31" s="2" t="str">
        <f t="shared" si="1"/>
        <v>OFF</v>
      </c>
      <c r="E31" s="2" t="str">
        <f t="shared" si="2"/>
        <v>不保持</v>
      </c>
      <c r="F31" s="2" t="str">
        <f t="shared" si="3"/>
        <v>私有</v>
      </c>
      <c r="I31" t="str" cm="1">
        <f t="array" ref="I31">IF(ISNUMBER(SEARCH("Reg",原始数据!D31)),"D"&amp;(SUMPRODUCT((ISNUMBER(SEARCH("Reg",原始数据!$D$2:D31)))*(IF(ISNUMBER(SEARCH("Real",原始数据!$C$2:C31))+ISNUMBER(SEARCH("DInt",原始数据!$C$2:C31))&gt;0,2,1)))-IF(ISNUMBER(SEARCH("Real",原始数据!C31))+ISNUMBER(SEARCH("DInt",原始数据!C31))&gt;0,2,1)),IF(原始数据!B31="Input","X"&amp;DEC2OCT(RIGHT(原始数据!D31,LEN(原始数据!D31)-FIND(" ",原始数据!D31))*1-63488),IF(原始数据!B31="Output","Y"&amp;DEC2OCT(RIGHT(原始数据!D31,LEN(原始数据!D31)-FIND(" ",原始数据!D31))*1-64512),"")))</f>
        <v/>
      </c>
    </row>
    <row r="32" spans="1:9">
      <c r="A32" s="1">
        <f t="shared" si="0"/>
        <v>31</v>
      </c>
      <c r="B32" s="2">
        <f>原始数据!A32</f>
        <v>0</v>
      </c>
      <c r="C32" s="2" t="str">
        <f>UPPER(原始数据!C32)</f>
        <v/>
      </c>
      <c r="D32" s="2" t="str">
        <f t="shared" si="1"/>
        <v>OFF</v>
      </c>
      <c r="E32" s="2" t="str">
        <f t="shared" si="2"/>
        <v>不保持</v>
      </c>
      <c r="F32" s="2" t="str">
        <f t="shared" si="3"/>
        <v>私有</v>
      </c>
      <c r="I32" t="str" cm="1">
        <f t="array" ref="I32">IF(ISNUMBER(SEARCH("Reg",原始数据!D32)),"D"&amp;(SUMPRODUCT((ISNUMBER(SEARCH("Reg",原始数据!$D$2:D32)))*(IF(ISNUMBER(SEARCH("Real",原始数据!$C$2:C32))+ISNUMBER(SEARCH("DInt",原始数据!$C$2:C32))&gt;0,2,1)))-IF(ISNUMBER(SEARCH("Real",原始数据!C32))+ISNUMBER(SEARCH("DInt",原始数据!C32))&gt;0,2,1)),IF(原始数据!B32="Input","X"&amp;DEC2OCT(RIGHT(原始数据!D32,LEN(原始数据!D32)-FIND(" ",原始数据!D32))*1-63488),IF(原始数据!B32="Output","Y"&amp;DEC2OCT(RIGHT(原始数据!D32,LEN(原始数据!D32)-FIND(" ",原始数据!D32))*1-64512),"")))</f>
        <v/>
      </c>
    </row>
    <row r="33" spans="1:9">
      <c r="A33" s="1">
        <f t="shared" si="0"/>
        <v>32</v>
      </c>
      <c r="B33" s="2">
        <f>原始数据!A33</f>
        <v>0</v>
      </c>
      <c r="C33" s="2" t="str">
        <f>UPPER(原始数据!C33)</f>
        <v/>
      </c>
      <c r="D33" s="2" t="str">
        <f t="shared" si="1"/>
        <v>OFF</v>
      </c>
      <c r="E33" s="2" t="str">
        <f t="shared" si="2"/>
        <v>不保持</v>
      </c>
      <c r="F33" s="2" t="str">
        <f t="shared" si="3"/>
        <v>私有</v>
      </c>
      <c r="I33" t="str" cm="1">
        <f t="array" ref="I33">IF(ISNUMBER(SEARCH("Reg",原始数据!D33)),"D"&amp;(SUMPRODUCT((ISNUMBER(SEARCH("Reg",原始数据!$D$2:D33)))*(IF(ISNUMBER(SEARCH("Real",原始数据!$C$2:C33))+ISNUMBER(SEARCH("DInt",原始数据!$C$2:C33))&gt;0,2,1)))-IF(ISNUMBER(SEARCH("Real",原始数据!C33))+ISNUMBER(SEARCH("DInt",原始数据!C33))&gt;0,2,1)),IF(原始数据!B33="Input","X"&amp;DEC2OCT(RIGHT(原始数据!D33,LEN(原始数据!D33)-FIND(" ",原始数据!D33))*1-63488),IF(原始数据!B33="Output","Y"&amp;DEC2OCT(RIGHT(原始数据!D33,LEN(原始数据!D33)-FIND(" ",原始数据!D33))*1-64512),"")))</f>
        <v/>
      </c>
    </row>
    <row r="34" spans="1:9">
      <c r="A34" s="1">
        <f t="shared" si="0"/>
        <v>33</v>
      </c>
      <c r="B34" s="2">
        <f>原始数据!A34</f>
        <v>0</v>
      </c>
      <c r="C34" s="2" t="str">
        <f>UPPER(原始数据!C34)</f>
        <v/>
      </c>
      <c r="D34" s="2" t="str">
        <f t="shared" si="1"/>
        <v>OFF</v>
      </c>
      <c r="E34" s="2" t="str">
        <f t="shared" si="2"/>
        <v>不保持</v>
      </c>
      <c r="F34" s="2" t="str">
        <f t="shared" si="3"/>
        <v>私有</v>
      </c>
      <c r="I34" t="str" cm="1">
        <f t="array" ref="I34">IF(ISNUMBER(SEARCH("Reg",原始数据!D34)),"D"&amp;(SUMPRODUCT((ISNUMBER(SEARCH("Reg",原始数据!$D$2:D34)))*(IF(ISNUMBER(SEARCH("Real",原始数据!$C$2:C34))+ISNUMBER(SEARCH("DInt",原始数据!$C$2:C34))&gt;0,2,1)))-IF(ISNUMBER(SEARCH("Real",原始数据!C34))+ISNUMBER(SEARCH("DInt",原始数据!C34))&gt;0,2,1)),IF(原始数据!B34="Input","X"&amp;DEC2OCT(RIGHT(原始数据!D34,LEN(原始数据!D34)-FIND(" ",原始数据!D34))*1-63488),IF(原始数据!B34="Output","Y"&amp;DEC2OCT(RIGHT(原始数据!D34,LEN(原始数据!D34)-FIND(" ",原始数据!D34))*1-64512),"")))</f>
        <v/>
      </c>
    </row>
    <row r="35" spans="1:9">
      <c r="A35" s="1">
        <f t="shared" si="0"/>
        <v>34</v>
      </c>
      <c r="B35" s="2">
        <f>原始数据!A35</f>
        <v>0</v>
      </c>
      <c r="C35" s="2" t="str">
        <f>UPPER(原始数据!C35)</f>
        <v/>
      </c>
      <c r="D35" s="2" t="str">
        <f t="shared" si="1"/>
        <v>OFF</v>
      </c>
      <c r="E35" s="2" t="str">
        <f t="shared" si="2"/>
        <v>不保持</v>
      </c>
      <c r="F35" s="2" t="str">
        <f t="shared" si="3"/>
        <v>私有</v>
      </c>
      <c r="I35" t="str" cm="1">
        <f t="array" ref="I35">IF(ISNUMBER(SEARCH("Reg",原始数据!D35)),"D"&amp;(SUMPRODUCT((ISNUMBER(SEARCH("Reg",原始数据!$D$2:D35)))*(IF(ISNUMBER(SEARCH("Real",原始数据!$C$2:C35))+ISNUMBER(SEARCH("DInt",原始数据!$C$2:C35))&gt;0,2,1)))-IF(ISNUMBER(SEARCH("Real",原始数据!C35))+ISNUMBER(SEARCH("DInt",原始数据!C35))&gt;0,2,1)),IF(原始数据!B35="Input","X"&amp;DEC2OCT(RIGHT(原始数据!D35,LEN(原始数据!D35)-FIND(" ",原始数据!D35))*1-63488),IF(原始数据!B35="Output","Y"&amp;DEC2OCT(RIGHT(原始数据!D35,LEN(原始数据!D35)-FIND(" ",原始数据!D35))*1-64512),"")))</f>
        <v/>
      </c>
    </row>
    <row r="36" spans="1:9">
      <c r="A36" s="1">
        <f t="shared" si="0"/>
        <v>35</v>
      </c>
      <c r="B36" s="2">
        <f>原始数据!A36</f>
        <v>0</v>
      </c>
      <c r="C36" s="2" t="str">
        <f>UPPER(原始数据!C36)</f>
        <v/>
      </c>
      <c r="D36" s="2" t="str">
        <f t="shared" si="1"/>
        <v>OFF</v>
      </c>
      <c r="E36" s="2" t="str">
        <f t="shared" si="2"/>
        <v>不保持</v>
      </c>
      <c r="F36" s="2" t="str">
        <f t="shared" si="3"/>
        <v>私有</v>
      </c>
      <c r="I36" t="str" cm="1">
        <f t="array" ref="I36">IF(ISNUMBER(SEARCH("Reg",原始数据!D36)),"D"&amp;(SUMPRODUCT((ISNUMBER(SEARCH("Reg",原始数据!$D$2:D36)))*(IF(ISNUMBER(SEARCH("Real",原始数据!$C$2:C36))+ISNUMBER(SEARCH("DInt",原始数据!$C$2:C36))&gt;0,2,1)))-IF(ISNUMBER(SEARCH("Real",原始数据!C36))+ISNUMBER(SEARCH("DInt",原始数据!C36))&gt;0,2,1)),IF(原始数据!B36="Input","X"&amp;DEC2OCT(RIGHT(原始数据!D36,LEN(原始数据!D36)-FIND(" ",原始数据!D36))*1-63488),IF(原始数据!B36="Output","Y"&amp;DEC2OCT(RIGHT(原始数据!D36,LEN(原始数据!D36)-FIND(" ",原始数据!D36))*1-64512),"")))</f>
        <v/>
      </c>
    </row>
    <row r="37" spans="1:9">
      <c r="A37" s="1">
        <f t="shared" si="0"/>
        <v>36</v>
      </c>
      <c r="B37" s="2">
        <f>原始数据!A37</f>
        <v>0</v>
      </c>
      <c r="C37" s="2" t="str">
        <f>UPPER(原始数据!C37)</f>
        <v/>
      </c>
      <c r="D37" s="2" t="str">
        <f t="shared" si="1"/>
        <v>OFF</v>
      </c>
      <c r="E37" s="2" t="str">
        <f t="shared" si="2"/>
        <v>不保持</v>
      </c>
      <c r="F37" s="2" t="str">
        <f t="shared" si="3"/>
        <v>私有</v>
      </c>
      <c r="I37" t="str" cm="1">
        <f t="array" ref="I37">IF(ISNUMBER(SEARCH("Reg",原始数据!D37)),"D"&amp;(SUMPRODUCT((ISNUMBER(SEARCH("Reg",原始数据!$D$2:D37)))*(IF(ISNUMBER(SEARCH("Real",原始数据!$C$2:C37))+ISNUMBER(SEARCH("DInt",原始数据!$C$2:C37))&gt;0,2,1)))-IF(ISNUMBER(SEARCH("Real",原始数据!C37))+ISNUMBER(SEARCH("DInt",原始数据!C37))&gt;0,2,1)),IF(原始数据!B37="Input","X"&amp;DEC2OCT(RIGHT(原始数据!D37,LEN(原始数据!D37)-FIND(" ",原始数据!D37))*1-63488),IF(原始数据!B37="Output","Y"&amp;DEC2OCT(RIGHT(原始数据!D37,LEN(原始数据!D37)-FIND(" ",原始数据!D37))*1-64512),"")))</f>
        <v/>
      </c>
    </row>
    <row r="38" spans="1:9">
      <c r="A38" s="1">
        <f t="shared" si="0"/>
        <v>37</v>
      </c>
      <c r="B38" s="2">
        <f>原始数据!A38</f>
        <v>0</v>
      </c>
      <c r="C38" s="2" t="str">
        <f>UPPER(原始数据!C38)</f>
        <v/>
      </c>
      <c r="D38" s="2" t="str">
        <f t="shared" si="1"/>
        <v>OFF</v>
      </c>
      <c r="E38" s="2" t="str">
        <f t="shared" si="2"/>
        <v>不保持</v>
      </c>
      <c r="F38" s="2" t="str">
        <f t="shared" si="3"/>
        <v>私有</v>
      </c>
      <c r="I38" t="str" cm="1">
        <f t="array" ref="I38">IF(ISNUMBER(SEARCH("Reg",原始数据!D38)),"D"&amp;(SUMPRODUCT((ISNUMBER(SEARCH("Reg",原始数据!$D$2:D38)))*(IF(ISNUMBER(SEARCH("Real",原始数据!$C$2:C38))+ISNUMBER(SEARCH("DInt",原始数据!$C$2:C38))&gt;0,2,1)))-IF(ISNUMBER(SEARCH("Real",原始数据!C38))+ISNUMBER(SEARCH("DInt",原始数据!C38))&gt;0,2,1)),IF(原始数据!B38="Input","X"&amp;DEC2OCT(RIGHT(原始数据!D38,LEN(原始数据!D38)-FIND(" ",原始数据!D38))*1-63488),IF(原始数据!B38="Output","Y"&amp;DEC2OCT(RIGHT(原始数据!D38,LEN(原始数据!D38)-FIND(" ",原始数据!D38))*1-64512),"")))</f>
        <v/>
      </c>
    </row>
    <row r="39" spans="1:9">
      <c r="A39" s="1">
        <f t="shared" si="0"/>
        <v>38</v>
      </c>
      <c r="B39" s="2">
        <f>原始数据!A39</f>
        <v>0</v>
      </c>
      <c r="C39" s="2" t="str">
        <f>UPPER(原始数据!C39)</f>
        <v/>
      </c>
      <c r="D39" s="2" t="str">
        <f t="shared" si="1"/>
        <v>OFF</v>
      </c>
      <c r="E39" s="2" t="str">
        <f t="shared" si="2"/>
        <v>不保持</v>
      </c>
      <c r="F39" s="2" t="str">
        <f t="shared" si="3"/>
        <v>私有</v>
      </c>
      <c r="I39" t="str" cm="1">
        <f t="array" ref="I39">IF(ISNUMBER(SEARCH("Reg",原始数据!D39)),"D"&amp;(SUMPRODUCT((ISNUMBER(SEARCH("Reg",原始数据!$D$2:D39)))*(IF(ISNUMBER(SEARCH("Real",原始数据!$C$2:C39))+ISNUMBER(SEARCH("DInt",原始数据!$C$2:C39))&gt;0,2,1)))-IF(ISNUMBER(SEARCH("Real",原始数据!C39))+ISNUMBER(SEARCH("DInt",原始数据!C39))&gt;0,2,1)),IF(原始数据!B39="Input","X"&amp;DEC2OCT(RIGHT(原始数据!D39,LEN(原始数据!D39)-FIND(" ",原始数据!D39))*1-63488),IF(原始数据!B39="Output","Y"&amp;DEC2OCT(RIGHT(原始数据!D39,LEN(原始数据!D39)-FIND(" ",原始数据!D39))*1-64512),"")))</f>
        <v/>
      </c>
    </row>
    <row r="40" spans="1:9">
      <c r="A40" s="1">
        <f t="shared" si="0"/>
        <v>39</v>
      </c>
      <c r="B40" s="2">
        <f>原始数据!A40</f>
        <v>0</v>
      </c>
      <c r="C40" s="2" t="str">
        <f>UPPER(原始数据!C40)</f>
        <v/>
      </c>
      <c r="D40" s="2" t="str">
        <f t="shared" si="1"/>
        <v>OFF</v>
      </c>
      <c r="E40" s="2" t="str">
        <f t="shared" si="2"/>
        <v>不保持</v>
      </c>
      <c r="F40" s="2" t="str">
        <f t="shared" si="3"/>
        <v>私有</v>
      </c>
      <c r="I40" t="str" cm="1">
        <f t="array" ref="I40">IF(ISNUMBER(SEARCH("Reg",原始数据!D40)),"D"&amp;(SUMPRODUCT((ISNUMBER(SEARCH("Reg",原始数据!$D$2:D40)))*(IF(ISNUMBER(SEARCH("Real",原始数据!$C$2:C40))+ISNUMBER(SEARCH("DInt",原始数据!$C$2:C40))&gt;0,2,1)))-IF(ISNUMBER(SEARCH("Real",原始数据!C40))+ISNUMBER(SEARCH("DInt",原始数据!C40))&gt;0,2,1)),IF(原始数据!B40="Input","X"&amp;DEC2OCT(RIGHT(原始数据!D40,LEN(原始数据!D40)-FIND(" ",原始数据!D40))*1-63488),IF(原始数据!B40="Output","Y"&amp;DEC2OCT(RIGHT(原始数据!D40,LEN(原始数据!D40)-FIND(" ",原始数据!D40))*1-64512),"")))</f>
        <v/>
      </c>
    </row>
    <row r="41" spans="1:9">
      <c r="A41" s="1">
        <f t="shared" si="0"/>
        <v>40</v>
      </c>
      <c r="B41" s="2">
        <f>原始数据!A41</f>
        <v>0</v>
      </c>
      <c r="C41" s="2" t="str">
        <f>UPPER(原始数据!C41)</f>
        <v/>
      </c>
      <c r="D41" s="2" t="str">
        <f t="shared" si="1"/>
        <v>OFF</v>
      </c>
      <c r="E41" s="2" t="str">
        <f t="shared" si="2"/>
        <v>不保持</v>
      </c>
      <c r="F41" s="2" t="str">
        <f t="shared" si="3"/>
        <v>私有</v>
      </c>
      <c r="I41" t="str" cm="1">
        <f t="array" ref="I41">IF(ISNUMBER(SEARCH("Reg",原始数据!D41)),"D"&amp;(SUMPRODUCT((ISNUMBER(SEARCH("Reg",原始数据!$D$2:D41)))*(IF(ISNUMBER(SEARCH("Real",原始数据!$C$2:C41))+ISNUMBER(SEARCH("DInt",原始数据!$C$2:C41))&gt;0,2,1)))-IF(ISNUMBER(SEARCH("Real",原始数据!C41))+ISNUMBER(SEARCH("DInt",原始数据!C41))&gt;0,2,1)),IF(原始数据!B41="Input","X"&amp;DEC2OCT(RIGHT(原始数据!D41,LEN(原始数据!D41)-FIND(" ",原始数据!D41))*1-63488),IF(原始数据!B41="Output","Y"&amp;DEC2OCT(RIGHT(原始数据!D41,LEN(原始数据!D41)-FIND(" ",原始数据!D41))*1-64512),"")))</f>
        <v/>
      </c>
    </row>
    <row r="42" spans="1:9">
      <c r="A42" s="1">
        <f t="shared" si="0"/>
        <v>41</v>
      </c>
      <c r="B42" s="2">
        <f>原始数据!A42</f>
        <v>0</v>
      </c>
      <c r="C42" s="2" t="str">
        <f>UPPER(原始数据!C42)</f>
        <v/>
      </c>
      <c r="D42" s="2" t="str">
        <f t="shared" si="1"/>
        <v>OFF</v>
      </c>
      <c r="E42" s="2" t="str">
        <f t="shared" si="2"/>
        <v>不保持</v>
      </c>
      <c r="F42" s="2" t="str">
        <f t="shared" si="3"/>
        <v>私有</v>
      </c>
      <c r="I42" t="str" cm="1">
        <f t="array" ref="I42">IF(ISNUMBER(SEARCH("Reg",原始数据!D42)),"D"&amp;(SUMPRODUCT((ISNUMBER(SEARCH("Reg",原始数据!$D$2:D42)))*(IF(ISNUMBER(SEARCH("Real",原始数据!$C$2:C42))+ISNUMBER(SEARCH("DInt",原始数据!$C$2:C42))&gt;0,2,1)))-IF(ISNUMBER(SEARCH("Real",原始数据!C42))+ISNUMBER(SEARCH("DInt",原始数据!C42))&gt;0,2,1)),IF(原始数据!B42="Input","X"&amp;DEC2OCT(RIGHT(原始数据!D42,LEN(原始数据!D42)-FIND(" ",原始数据!D42))*1-63488),IF(原始数据!B42="Output","Y"&amp;DEC2OCT(RIGHT(原始数据!D42,LEN(原始数据!D42)-FIND(" ",原始数据!D42))*1-64512),"")))</f>
        <v/>
      </c>
    </row>
    <row r="43" spans="1:9">
      <c r="A43" s="1">
        <f t="shared" si="0"/>
        <v>42</v>
      </c>
      <c r="B43" s="2">
        <f>原始数据!A43</f>
        <v>0</v>
      </c>
      <c r="C43" s="2" t="str">
        <f>UPPER(原始数据!C43)</f>
        <v/>
      </c>
      <c r="D43" s="2" t="str">
        <f t="shared" si="1"/>
        <v>OFF</v>
      </c>
      <c r="E43" s="2" t="str">
        <f t="shared" si="2"/>
        <v>不保持</v>
      </c>
      <c r="F43" s="2" t="str">
        <f t="shared" si="3"/>
        <v>私有</v>
      </c>
      <c r="I43" t="str" cm="1">
        <f t="array" ref="I43">IF(ISNUMBER(SEARCH("Reg",原始数据!D43)),"D"&amp;(SUMPRODUCT((ISNUMBER(SEARCH("Reg",原始数据!$D$2:D43)))*(IF(ISNUMBER(SEARCH("Real",原始数据!$C$2:C43))+ISNUMBER(SEARCH("DInt",原始数据!$C$2:C43))&gt;0,2,1)))-IF(ISNUMBER(SEARCH("Real",原始数据!C43))+ISNUMBER(SEARCH("DInt",原始数据!C43))&gt;0,2,1)),IF(原始数据!B43="Input","X"&amp;DEC2OCT(RIGHT(原始数据!D43,LEN(原始数据!D43)-FIND(" ",原始数据!D43))*1-63488),IF(原始数据!B43="Output","Y"&amp;DEC2OCT(RIGHT(原始数据!D43,LEN(原始数据!D43)-FIND(" ",原始数据!D43))*1-64512),"")))</f>
        <v/>
      </c>
    </row>
    <row r="44" spans="1:9">
      <c r="A44" s="1">
        <f t="shared" si="0"/>
        <v>43</v>
      </c>
      <c r="B44" s="2">
        <f>原始数据!A44</f>
        <v>0</v>
      </c>
      <c r="C44" s="2" t="str">
        <f>UPPER(原始数据!C44)</f>
        <v/>
      </c>
      <c r="D44" s="2" t="str">
        <f t="shared" si="1"/>
        <v>OFF</v>
      </c>
      <c r="E44" s="2" t="str">
        <f t="shared" si="2"/>
        <v>不保持</v>
      </c>
      <c r="F44" s="2" t="str">
        <f t="shared" si="3"/>
        <v>私有</v>
      </c>
      <c r="I44" t="str" cm="1">
        <f t="array" ref="I44">IF(ISNUMBER(SEARCH("Reg",原始数据!D44)),"D"&amp;(SUMPRODUCT((ISNUMBER(SEARCH("Reg",原始数据!$D$2:D44)))*(IF(ISNUMBER(SEARCH("Real",原始数据!$C$2:C44))+ISNUMBER(SEARCH("DInt",原始数据!$C$2:C44))&gt;0,2,1)))-IF(ISNUMBER(SEARCH("Real",原始数据!C44))+ISNUMBER(SEARCH("DInt",原始数据!C44))&gt;0,2,1)),IF(原始数据!B44="Input","X"&amp;DEC2OCT(RIGHT(原始数据!D44,LEN(原始数据!D44)-FIND(" ",原始数据!D44))*1-63488),IF(原始数据!B44="Output","Y"&amp;DEC2OCT(RIGHT(原始数据!D44,LEN(原始数据!D44)-FIND(" ",原始数据!D44))*1-64512),"")))</f>
        <v/>
      </c>
    </row>
    <row r="45" spans="1:9">
      <c r="A45" s="1">
        <f t="shared" si="0"/>
        <v>44</v>
      </c>
      <c r="B45" s="2">
        <f>原始数据!A45</f>
        <v>0</v>
      </c>
      <c r="C45" s="2" t="str">
        <f>UPPER(原始数据!C45)</f>
        <v/>
      </c>
      <c r="D45" s="2" t="str">
        <f t="shared" si="1"/>
        <v>OFF</v>
      </c>
      <c r="E45" s="2" t="str">
        <f t="shared" si="2"/>
        <v>不保持</v>
      </c>
      <c r="F45" s="2" t="str">
        <f t="shared" si="3"/>
        <v>私有</v>
      </c>
      <c r="I45" t="str" cm="1">
        <f t="array" ref="I45">IF(ISNUMBER(SEARCH("Reg",原始数据!D45)),"D"&amp;(SUMPRODUCT((ISNUMBER(SEARCH("Reg",原始数据!$D$2:D45)))*(IF(ISNUMBER(SEARCH("Real",原始数据!$C$2:C45))+ISNUMBER(SEARCH("DInt",原始数据!$C$2:C45))&gt;0,2,1)))-IF(ISNUMBER(SEARCH("Real",原始数据!C45))+ISNUMBER(SEARCH("DInt",原始数据!C45))&gt;0,2,1)),IF(原始数据!B45="Input","X"&amp;DEC2OCT(RIGHT(原始数据!D45,LEN(原始数据!D45)-FIND(" ",原始数据!D45))*1-63488),IF(原始数据!B45="Output","Y"&amp;DEC2OCT(RIGHT(原始数据!D45,LEN(原始数据!D45)-FIND(" ",原始数据!D45))*1-64512),"")))</f>
        <v/>
      </c>
    </row>
    <row r="46" spans="1:9">
      <c r="A46" s="1">
        <f t="shared" si="0"/>
        <v>45</v>
      </c>
      <c r="B46" s="2">
        <f>原始数据!A46</f>
        <v>0</v>
      </c>
      <c r="C46" s="2" t="str">
        <f>UPPER(原始数据!C46)</f>
        <v/>
      </c>
      <c r="D46" s="2" t="str">
        <f t="shared" si="1"/>
        <v>OFF</v>
      </c>
      <c r="E46" s="2" t="str">
        <f t="shared" si="2"/>
        <v>不保持</v>
      </c>
      <c r="F46" s="2" t="str">
        <f t="shared" si="3"/>
        <v>私有</v>
      </c>
      <c r="I46" t="str" cm="1">
        <f t="array" ref="I46">IF(ISNUMBER(SEARCH("Reg",原始数据!D46)),"D"&amp;(SUMPRODUCT((ISNUMBER(SEARCH("Reg",原始数据!$D$2:D46)))*(IF(ISNUMBER(SEARCH("Real",原始数据!$C$2:C46))+ISNUMBER(SEARCH("DInt",原始数据!$C$2:C46))&gt;0,2,1)))-IF(ISNUMBER(SEARCH("Real",原始数据!C46))+ISNUMBER(SEARCH("DInt",原始数据!C46))&gt;0,2,1)),IF(原始数据!B46="Input","X"&amp;DEC2OCT(RIGHT(原始数据!D46,LEN(原始数据!D46)-FIND(" ",原始数据!D46))*1-63488),IF(原始数据!B46="Output","Y"&amp;DEC2OCT(RIGHT(原始数据!D46,LEN(原始数据!D46)-FIND(" ",原始数据!D46))*1-64512),"")))</f>
        <v/>
      </c>
    </row>
    <row r="47" spans="1:9">
      <c r="A47" s="1">
        <f t="shared" si="0"/>
        <v>46</v>
      </c>
      <c r="B47" s="2">
        <f>原始数据!A47</f>
        <v>0</v>
      </c>
      <c r="C47" s="2" t="str">
        <f>UPPER(原始数据!C47)</f>
        <v/>
      </c>
      <c r="D47" s="2" t="str">
        <f t="shared" si="1"/>
        <v>OFF</v>
      </c>
      <c r="E47" s="2" t="str">
        <f t="shared" si="2"/>
        <v>不保持</v>
      </c>
      <c r="F47" s="2" t="str">
        <f t="shared" si="3"/>
        <v>私有</v>
      </c>
      <c r="I47" t="str" cm="1">
        <f t="array" ref="I47">IF(ISNUMBER(SEARCH("Reg",原始数据!D47)),"D"&amp;(SUMPRODUCT((ISNUMBER(SEARCH("Reg",原始数据!$D$2:D47)))*(IF(ISNUMBER(SEARCH("Real",原始数据!$C$2:C47))+ISNUMBER(SEARCH("DInt",原始数据!$C$2:C47))&gt;0,2,1)))-IF(ISNUMBER(SEARCH("Real",原始数据!C47))+ISNUMBER(SEARCH("DInt",原始数据!C47))&gt;0,2,1)),IF(原始数据!B47="Input","X"&amp;DEC2OCT(RIGHT(原始数据!D47,LEN(原始数据!D47)-FIND(" ",原始数据!D47))*1-63488),IF(原始数据!B47="Output","Y"&amp;DEC2OCT(RIGHT(原始数据!D47,LEN(原始数据!D47)-FIND(" ",原始数据!D47))*1-64512),"")))</f>
        <v/>
      </c>
    </row>
    <row r="48" spans="1:9">
      <c r="A48" s="1">
        <f t="shared" si="0"/>
        <v>47</v>
      </c>
      <c r="B48" s="2">
        <f>原始数据!A48</f>
        <v>0</v>
      </c>
      <c r="C48" s="2" t="str">
        <f>UPPER(原始数据!C48)</f>
        <v/>
      </c>
      <c r="D48" s="2" t="str">
        <f t="shared" si="1"/>
        <v>OFF</v>
      </c>
      <c r="E48" s="2" t="str">
        <f t="shared" si="2"/>
        <v>不保持</v>
      </c>
      <c r="F48" s="2" t="str">
        <f t="shared" si="3"/>
        <v>私有</v>
      </c>
      <c r="I48" t="str" cm="1">
        <f t="array" ref="I48">IF(ISNUMBER(SEARCH("Reg",原始数据!D48)),"D"&amp;(SUMPRODUCT((ISNUMBER(SEARCH("Reg",原始数据!$D$2:D48)))*(IF(ISNUMBER(SEARCH("Real",原始数据!$C$2:C48))+ISNUMBER(SEARCH("DInt",原始数据!$C$2:C48))&gt;0,2,1)))-IF(ISNUMBER(SEARCH("Real",原始数据!C48))+ISNUMBER(SEARCH("DInt",原始数据!C48))&gt;0,2,1)),IF(原始数据!B48="Input","X"&amp;DEC2OCT(RIGHT(原始数据!D48,LEN(原始数据!D48)-FIND(" ",原始数据!D48))*1-63488),IF(原始数据!B48="Output","Y"&amp;DEC2OCT(RIGHT(原始数据!D48,LEN(原始数据!D48)-FIND(" ",原始数据!D48))*1-64512),"")))</f>
        <v/>
      </c>
    </row>
    <row r="49" spans="1:9">
      <c r="A49" s="1">
        <f t="shared" si="0"/>
        <v>48</v>
      </c>
      <c r="B49" s="2">
        <f>原始数据!A49</f>
        <v>0</v>
      </c>
      <c r="C49" s="2" t="str">
        <f>UPPER(原始数据!C49)</f>
        <v/>
      </c>
      <c r="D49" s="2" t="str">
        <f t="shared" si="1"/>
        <v>OFF</v>
      </c>
      <c r="E49" s="2" t="str">
        <f t="shared" si="2"/>
        <v>不保持</v>
      </c>
      <c r="F49" s="2" t="str">
        <f t="shared" si="3"/>
        <v>私有</v>
      </c>
      <c r="I49" t="str" cm="1">
        <f t="array" ref="I49">IF(ISNUMBER(SEARCH("Reg",原始数据!D49)),"D"&amp;(SUMPRODUCT((ISNUMBER(SEARCH("Reg",原始数据!$D$2:D49)))*(IF(ISNUMBER(SEARCH("Real",原始数据!$C$2:C49))+ISNUMBER(SEARCH("DInt",原始数据!$C$2:C49))&gt;0,2,1)))-IF(ISNUMBER(SEARCH("Real",原始数据!C49))+ISNUMBER(SEARCH("DInt",原始数据!C49))&gt;0,2,1)),IF(原始数据!B49="Input","X"&amp;DEC2OCT(RIGHT(原始数据!D49,LEN(原始数据!D49)-FIND(" ",原始数据!D49))*1-63488),IF(原始数据!B49="Output","Y"&amp;DEC2OCT(RIGHT(原始数据!D49,LEN(原始数据!D49)-FIND(" ",原始数据!D49))*1-64512),"")))</f>
        <v/>
      </c>
    </row>
    <row r="50" spans="1:9">
      <c r="A50" s="1">
        <f t="shared" si="0"/>
        <v>49</v>
      </c>
      <c r="B50" s="2">
        <f>原始数据!A50</f>
        <v>0</v>
      </c>
      <c r="C50" s="2" t="str">
        <f>UPPER(原始数据!C50)</f>
        <v/>
      </c>
      <c r="D50" s="2" t="str">
        <f t="shared" si="1"/>
        <v>OFF</v>
      </c>
      <c r="E50" s="2" t="str">
        <f t="shared" si="2"/>
        <v>不保持</v>
      </c>
      <c r="F50" s="2" t="str">
        <f t="shared" si="3"/>
        <v>私有</v>
      </c>
      <c r="I50" t="str" cm="1">
        <f t="array" ref="I50">IF(ISNUMBER(SEARCH("Reg",原始数据!D50)),"D"&amp;(SUMPRODUCT((ISNUMBER(SEARCH("Reg",原始数据!$D$2:D50)))*(IF(ISNUMBER(SEARCH("Real",原始数据!$C$2:C50))+ISNUMBER(SEARCH("DInt",原始数据!$C$2:C50))&gt;0,2,1)))-IF(ISNUMBER(SEARCH("Real",原始数据!C50))+ISNUMBER(SEARCH("DInt",原始数据!C50))&gt;0,2,1)),IF(原始数据!B50="Input","X"&amp;DEC2OCT(RIGHT(原始数据!D50,LEN(原始数据!D50)-FIND(" ",原始数据!D50))*1-63488),IF(原始数据!B50="Output","Y"&amp;DEC2OCT(RIGHT(原始数据!D50,LEN(原始数据!D50)-FIND(" ",原始数据!D50))*1-64512),"")))</f>
        <v/>
      </c>
    </row>
    <row r="51" spans="1:9">
      <c r="A51" s="1">
        <f t="shared" si="0"/>
        <v>50</v>
      </c>
      <c r="B51" s="2">
        <f>原始数据!A51</f>
        <v>0</v>
      </c>
      <c r="C51" s="2" t="str">
        <f>UPPER(原始数据!C51)</f>
        <v/>
      </c>
      <c r="D51" s="2" t="str">
        <f t="shared" si="1"/>
        <v>OFF</v>
      </c>
      <c r="E51" s="2" t="str">
        <f t="shared" si="2"/>
        <v>不保持</v>
      </c>
      <c r="F51" s="2" t="str">
        <f t="shared" si="3"/>
        <v>私有</v>
      </c>
      <c r="I51" t="str" cm="1">
        <f t="array" ref="I51">IF(ISNUMBER(SEARCH("Reg",原始数据!D51)),"D"&amp;(SUMPRODUCT((ISNUMBER(SEARCH("Reg",原始数据!$D$2:D51)))*(IF(ISNUMBER(SEARCH("Real",原始数据!$C$2:C51))+ISNUMBER(SEARCH("DInt",原始数据!$C$2:C51))&gt;0,2,1)))-IF(ISNUMBER(SEARCH("Real",原始数据!C51))+ISNUMBER(SEARCH("DInt",原始数据!C51))&gt;0,2,1)),IF(原始数据!B51="Input","X"&amp;DEC2OCT(RIGHT(原始数据!D51,LEN(原始数据!D51)-FIND(" ",原始数据!D51))*1-63488),IF(原始数据!B51="Output","Y"&amp;DEC2OCT(RIGHT(原始数据!D51,LEN(原始数据!D51)-FIND(" ",原始数据!D51))*1-64512),"")))</f>
        <v/>
      </c>
    </row>
    <row r="52" spans="1:9">
      <c r="A52" s="1">
        <f t="shared" si="0"/>
        <v>51</v>
      </c>
      <c r="B52" s="2">
        <f>原始数据!A52</f>
        <v>0</v>
      </c>
      <c r="C52" s="2" t="str">
        <f>UPPER(原始数据!C52)</f>
        <v/>
      </c>
      <c r="D52" s="2" t="str">
        <f t="shared" si="1"/>
        <v>OFF</v>
      </c>
      <c r="E52" s="2" t="str">
        <f t="shared" si="2"/>
        <v>不保持</v>
      </c>
      <c r="F52" s="2" t="str">
        <f t="shared" si="3"/>
        <v>私有</v>
      </c>
      <c r="I52" t="str" cm="1">
        <f t="array" ref="I52">IF(ISNUMBER(SEARCH("Reg",原始数据!D52)),"D"&amp;(SUMPRODUCT((ISNUMBER(SEARCH("Reg",原始数据!$D$2:D52)))*(IF(ISNUMBER(SEARCH("Real",原始数据!$C$2:C52))+ISNUMBER(SEARCH("DInt",原始数据!$C$2:C52))&gt;0,2,1)))-IF(ISNUMBER(SEARCH("Real",原始数据!C52))+ISNUMBER(SEARCH("DInt",原始数据!C52))&gt;0,2,1)),IF(原始数据!B52="Input","X"&amp;DEC2OCT(RIGHT(原始数据!D52,LEN(原始数据!D52)-FIND(" ",原始数据!D52))*1-63488),IF(原始数据!B52="Output","Y"&amp;DEC2OCT(RIGHT(原始数据!D52,LEN(原始数据!D52)-FIND(" ",原始数据!D52))*1-64512),"")))</f>
        <v/>
      </c>
    </row>
    <row r="53" spans="1:9">
      <c r="A53" s="1">
        <f t="shared" si="0"/>
        <v>52</v>
      </c>
      <c r="B53" s="2">
        <f>原始数据!A53</f>
        <v>0</v>
      </c>
      <c r="C53" s="2" t="str">
        <f>UPPER(原始数据!C53)</f>
        <v/>
      </c>
      <c r="D53" s="2" t="str">
        <f t="shared" si="1"/>
        <v>OFF</v>
      </c>
      <c r="E53" s="2" t="str">
        <f t="shared" si="2"/>
        <v>不保持</v>
      </c>
      <c r="F53" s="2" t="str">
        <f t="shared" si="3"/>
        <v>私有</v>
      </c>
      <c r="I53" t="str" cm="1">
        <f t="array" ref="I53">IF(ISNUMBER(SEARCH("Reg",原始数据!D53)),"D"&amp;(SUMPRODUCT((ISNUMBER(SEARCH("Reg",原始数据!$D$2:D53)))*(IF(ISNUMBER(SEARCH("Real",原始数据!$C$2:C53))+ISNUMBER(SEARCH("DInt",原始数据!$C$2:C53))&gt;0,2,1)))-IF(ISNUMBER(SEARCH("Real",原始数据!C53))+ISNUMBER(SEARCH("DInt",原始数据!C53))&gt;0,2,1)),IF(原始数据!B53="Input","X"&amp;DEC2OCT(RIGHT(原始数据!D53,LEN(原始数据!D53)-FIND(" ",原始数据!D53))*1-63488),IF(原始数据!B53="Output","Y"&amp;DEC2OCT(RIGHT(原始数据!D53,LEN(原始数据!D53)-FIND(" ",原始数据!D53))*1-64512),"")))</f>
        <v/>
      </c>
    </row>
    <row r="54" spans="1:9">
      <c r="A54" s="1">
        <f t="shared" si="0"/>
        <v>53</v>
      </c>
      <c r="B54" s="2">
        <f>原始数据!A54</f>
        <v>0</v>
      </c>
      <c r="C54" s="2" t="str">
        <f>UPPER(原始数据!C54)</f>
        <v/>
      </c>
      <c r="D54" s="2" t="str">
        <f t="shared" si="1"/>
        <v>OFF</v>
      </c>
      <c r="E54" s="2" t="str">
        <f t="shared" si="2"/>
        <v>不保持</v>
      </c>
      <c r="F54" s="2" t="str">
        <f t="shared" si="3"/>
        <v>私有</v>
      </c>
      <c r="I54" t="str" cm="1">
        <f t="array" ref="I54">IF(ISNUMBER(SEARCH("Reg",原始数据!D54)),"D"&amp;(SUMPRODUCT((ISNUMBER(SEARCH("Reg",原始数据!$D$2:D54)))*(IF(ISNUMBER(SEARCH("Real",原始数据!$C$2:C54))+ISNUMBER(SEARCH("DInt",原始数据!$C$2:C54))&gt;0,2,1)))-IF(ISNUMBER(SEARCH("Real",原始数据!C54))+ISNUMBER(SEARCH("DInt",原始数据!C54))&gt;0,2,1)),IF(原始数据!B54="Input","X"&amp;DEC2OCT(RIGHT(原始数据!D54,LEN(原始数据!D54)-FIND(" ",原始数据!D54))*1-63488),IF(原始数据!B54="Output","Y"&amp;DEC2OCT(RIGHT(原始数据!D54,LEN(原始数据!D54)-FIND(" ",原始数据!D54))*1-64512),"")))</f>
        <v/>
      </c>
    </row>
    <row r="55" spans="1:9">
      <c r="A55" s="1">
        <f t="shared" si="0"/>
        <v>54</v>
      </c>
      <c r="B55" s="2">
        <f>原始数据!A55</f>
        <v>0</v>
      </c>
      <c r="C55" s="2" t="str">
        <f>UPPER(原始数据!C55)</f>
        <v/>
      </c>
      <c r="D55" s="2" t="str">
        <f t="shared" si="1"/>
        <v>OFF</v>
      </c>
      <c r="E55" s="2" t="str">
        <f t="shared" si="2"/>
        <v>不保持</v>
      </c>
      <c r="F55" s="2" t="str">
        <f t="shared" si="3"/>
        <v>私有</v>
      </c>
      <c r="I55" t="str" cm="1">
        <f t="array" ref="I55">IF(ISNUMBER(SEARCH("Reg",原始数据!D55)),"D"&amp;(SUMPRODUCT((ISNUMBER(SEARCH("Reg",原始数据!$D$2:D55)))*(IF(ISNUMBER(SEARCH("Real",原始数据!$C$2:C55))+ISNUMBER(SEARCH("DInt",原始数据!$C$2:C55))&gt;0,2,1)))-IF(ISNUMBER(SEARCH("Real",原始数据!C55))+ISNUMBER(SEARCH("DInt",原始数据!C55))&gt;0,2,1)),IF(原始数据!B55="Input","X"&amp;DEC2OCT(RIGHT(原始数据!D55,LEN(原始数据!D55)-FIND(" ",原始数据!D55))*1-63488),IF(原始数据!B55="Output","Y"&amp;DEC2OCT(RIGHT(原始数据!D55,LEN(原始数据!D55)-FIND(" ",原始数据!D55))*1-64512),"")))</f>
        <v/>
      </c>
    </row>
    <row r="56" spans="1:9">
      <c r="A56" s="1"/>
      <c r="B56" s="2"/>
      <c r="C56" s="2"/>
      <c r="D56" s="2"/>
      <c r="E56" s="2"/>
      <c r="F56" s="2"/>
    </row>
    <row r="57" spans="1:9">
      <c r="A57" s="1"/>
      <c r="B57" s="2"/>
      <c r="C57" s="2"/>
      <c r="D57" s="2"/>
      <c r="E57" s="2"/>
      <c r="F57" s="2"/>
    </row>
    <row r="58" spans="1:9">
      <c r="A58" s="1"/>
      <c r="B58" s="2"/>
      <c r="C58" s="2"/>
      <c r="D58" s="2"/>
      <c r="E58" s="2"/>
      <c r="F58" s="2"/>
    </row>
    <row r="59" spans="1:9">
      <c r="A59" s="1"/>
      <c r="B59" s="2"/>
      <c r="C59" s="2"/>
      <c r="D59" s="2"/>
      <c r="E59" s="2"/>
      <c r="F59" s="2"/>
    </row>
    <row r="60" spans="1:9">
      <c r="A60" s="1"/>
      <c r="B60" s="2"/>
      <c r="C60" s="2"/>
      <c r="D60" s="2"/>
      <c r="E60" s="2"/>
      <c r="F60" s="2"/>
    </row>
    <row r="61" spans="1:9">
      <c r="A61" s="1"/>
      <c r="B61" s="2"/>
      <c r="C61" s="2"/>
      <c r="D61" s="2"/>
      <c r="E61" s="2"/>
      <c r="F61" s="2"/>
    </row>
    <row r="62" spans="1:9">
      <c r="A62" s="1"/>
      <c r="B62" s="2"/>
      <c r="C62" s="2"/>
      <c r="D62" s="2"/>
      <c r="E62" s="2"/>
      <c r="F62" s="2"/>
    </row>
    <row r="63" spans="1:9">
      <c r="A63" s="1"/>
      <c r="B63" s="2"/>
      <c r="C63" s="2"/>
      <c r="D63" s="2"/>
      <c r="E63" s="2"/>
      <c r="F63" s="2"/>
    </row>
    <row r="64" spans="1:9">
      <c r="A64" s="1"/>
      <c r="B64" s="2"/>
      <c r="C64" s="2"/>
      <c r="D64" s="2"/>
      <c r="E64" s="2"/>
      <c r="F64" s="2"/>
    </row>
    <row r="65" spans="1:6">
      <c r="A65" s="1"/>
      <c r="B65" s="2"/>
      <c r="C65" s="2"/>
      <c r="D65" s="2"/>
      <c r="E65" s="2"/>
      <c r="F65" s="2"/>
    </row>
    <row r="66" spans="1:6">
      <c r="A66" s="1"/>
      <c r="B66" s="2"/>
      <c r="C66" s="2"/>
      <c r="D66" s="2"/>
      <c r="E66" s="2"/>
      <c r="F66" s="2"/>
    </row>
    <row r="67" spans="1:6">
      <c r="A67" s="1"/>
      <c r="B67" s="2"/>
      <c r="C67" s="2"/>
      <c r="D67" s="2"/>
      <c r="E67" s="2"/>
      <c r="F67" s="2"/>
    </row>
    <row r="68" spans="1:6">
      <c r="A68" s="1"/>
      <c r="B68" s="2"/>
      <c r="C68" s="2"/>
      <c r="D68" s="2"/>
      <c r="E68" s="2"/>
      <c r="F68" s="2"/>
    </row>
    <row r="69" spans="1:6">
      <c r="A69" s="1"/>
      <c r="B69" s="2"/>
      <c r="C69" s="2"/>
      <c r="D69" s="2"/>
      <c r="E69" s="2"/>
      <c r="F69" s="2"/>
    </row>
    <row r="70" spans="1:6">
      <c r="A70" s="1"/>
      <c r="B70" s="2"/>
      <c r="C70" s="2"/>
      <c r="D70" s="2"/>
      <c r="E70" s="2"/>
      <c r="F70" s="2"/>
    </row>
    <row r="71" spans="1:6">
      <c r="A71" s="1"/>
      <c r="B71" s="2"/>
      <c r="C71" s="2"/>
      <c r="D71" s="2"/>
      <c r="E71" s="2"/>
      <c r="F71" s="2"/>
    </row>
    <row r="72" spans="1:6">
      <c r="A72" s="1"/>
      <c r="B72" s="2"/>
      <c r="C72" s="2"/>
      <c r="D72" s="2"/>
      <c r="E72" s="2"/>
      <c r="F72" s="2"/>
    </row>
    <row r="73" spans="1:6">
      <c r="A73" s="1"/>
      <c r="B73" s="2"/>
      <c r="C73" s="2"/>
      <c r="D73" s="2"/>
      <c r="E73" s="2"/>
      <c r="F73" s="2"/>
    </row>
    <row r="74" spans="1:6">
      <c r="A74" s="1"/>
      <c r="B74" s="2"/>
      <c r="C74" s="2"/>
      <c r="D74" s="2"/>
      <c r="E74" s="2"/>
      <c r="F74" s="2"/>
    </row>
    <row r="75" spans="1:6">
      <c r="A75" s="1"/>
      <c r="B75" s="2"/>
      <c r="C75" s="2"/>
      <c r="D75" s="2"/>
      <c r="E75" s="2"/>
      <c r="F75" s="2"/>
    </row>
    <row r="76" spans="1:6">
      <c r="A76" s="1"/>
      <c r="B76" s="2"/>
      <c r="C76" s="2"/>
      <c r="D76" s="2"/>
      <c r="E76" s="2"/>
      <c r="F76" s="2"/>
    </row>
    <row r="77" spans="1:6">
      <c r="A77" s="1"/>
      <c r="B77" s="2"/>
      <c r="C77" s="2"/>
      <c r="D77" s="2"/>
      <c r="E77" s="2"/>
      <c r="F77" s="2"/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A1" sqref="A1:E55"/>
    </sheetView>
  </sheetViews>
  <sheetFormatPr defaultColWidth="8.72727272727273" defaultRowHeight="14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汇川表_new</vt:lpstr>
      <vt:lpstr>原始数据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曹婉婷</cp:lastModifiedBy>
  <dcterms:created xsi:type="dcterms:W3CDTF">2026-10-21T11:09:00Z</dcterms:created>
  <dcterms:modified xsi:type="dcterms:W3CDTF">2026-10-24T05:52:54Z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545A1EEA12DF40C29216B02A85A07272_13</vt:lpwstr>
  </property>
  <property fmtid="{D5CDD505-2E9C-101B-9397-08002B2CF9AE}" pid="3" name="KSOProductBuildVer">
    <vt:lpwstr>2052-12.1.0.23542</vt:lpwstr>
  </property>
</Properties>
</file>